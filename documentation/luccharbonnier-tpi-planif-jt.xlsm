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B24" i="12"/>
  <c r="C23" i="12"/>
  <c r="C22" i="12"/>
  <c r="C21" i="12"/>
  <c r="C20" i="12"/>
  <c r="C19" i="12"/>
  <c r="C18" i="12"/>
  <c r="C6" i="12"/>
  <c r="C5" i="12"/>
  <c r="C4" i="12"/>
  <c r="C17" i="12"/>
  <c r="C12" i="12"/>
  <c r="C16" i="12"/>
  <c r="C24" i="12"/>
  <c r="B36" i="12" l="1"/>
  <c r="C35" i="12"/>
  <c r="C34" i="12"/>
  <c r="C33" i="12"/>
  <c r="C31" i="12"/>
  <c r="C30" i="12"/>
  <c r="C28" i="12"/>
  <c r="C32" i="12"/>
  <c r="C29" i="12"/>
  <c r="C36" i="12"/>
  <c r="B48" i="12" l="1"/>
  <c r="C47" i="12"/>
  <c r="C46" i="12"/>
  <c r="C45" i="12"/>
  <c r="C44" i="12"/>
  <c r="C43" i="12"/>
  <c r="C42" i="12"/>
  <c r="C41" i="12"/>
  <c r="C40" i="12"/>
  <c r="C48" i="12"/>
  <c r="B60" i="12" l="1"/>
  <c r="C59" i="12"/>
  <c r="C58" i="12"/>
  <c r="C57" i="12"/>
  <c r="C56" i="12"/>
  <c r="C55" i="12"/>
  <c r="C54" i="12"/>
  <c r="B72" i="12"/>
  <c r="C71" i="12"/>
  <c r="C70" i="12"/>
  <c r="C69" i="12"/>
  <c r="C68" i="12"/>
  <c r="C67" i="12"/>
  <c r="C66" i="12"/>
  <c r="C65" i="12"/>
  <c r="C64" i="12"/>
  <c r="C72" i="12"/>
  <c r="C53" i="12"/>
  <c r="C52" i="12"/>
  <c r="C60" i="12"/>
  <c r="B84" i="12" l="1"/>
  <c r="C83" i="12"/>
  <c r="C82" i="12"/>
  <c r="C81" i="12"/>
  <c r="C80" i="12"/>
  <c r="C79" i="12"/>
  <c r="C78" i="12"/>
  <c r="C77" i="12"/>
  <c r="C76" i="12"/>
  <c r="C84" i="12"/>
  <c r="B96" i="12" l="1"/>
  <c r="C95" i="12"/>
  <c r="C94" i="12"/>
  <c r="C93" i="12"/>
  <c r="C92" i="12"/>
  <c r="B108" i="12"/>
  <c r="C107" i="12"/>
  <c r="C106" i="12"/>
  <c r="C105" i="12"/>
  <c r="C104" i="12"/>
  <c r="C103" i="12"/>
  <c r="C102" i="12"/>
  <c r="C101" i="12"/>
  <c r="C100" i="12"/>
  <c r="C108" i="12"/>
  <c r="C90" i="12"/>
  <c r="C89" i="12"/>
  <c r="C88" i="12"/>
  <c r="C96" i="12"/>
  <c r="C91" i="12"/>
  <c r="B120" i="12" l="1"/>
  <c r="C119" i="12"/>
  <c r="C118" i="12"/>
  <c r="C117" i="12"/>
  <c r="C116" i="12"/>
  <c r="B132" i="12"/>
  <c r="C131" i="12"/>
  <c r="C130" i="12"/>
  <c r="C129" i="12"/>
  <c r="C128" i="12"/>
  <c r="C127" i="12"/>
  <c r="C126" i="12"/>
  <c r="C125" i="12"/>
  <c r="B144" i="12"/>
  <c r="C143" i="12"/>
  <c r="C142" i="12"/>
  <c r="C141" i="12"/>
  <c r="C140" i="12"/>
  <c r="C139" i="12"/>
  <c r="C138" i="12"/>
  <c r="C137" i="12"/>
  <c r="C115" i="12"/>
  <c r="C120" i="12"/>
  <c r="C124" i="12"/>
  <c r="C132" i="12"/>
  <c r="C136" i="12"/>
  <c r="C144" i="12"/>
  <c r="C114" i="12"/>
  <c r="C113" i="12"/>
  <c r="C112" i="12"/>
  <c r="B156" i="12" l="1"/>
  <c r="C155" i="12"/>
  <c r="C154" i="12"/>
  <c r="C153" i="12"/>
  <c r="C152" i="12"/>
  <c r="C151" i="12"/>
  <c r="C150" i="12"/>
  <c r="B168" i="12"/>
  <c r="C167" i="12"/>
  <c r="C166" i="12"/>
  <c r="C165" i="12"/>
  <c r="C164" i="12"/>
  <c r="C160" i="12"/>
  <c r="C168" i="12"/>
  <c r="C162" i="12"/>
  <c r="C161" i="12"/>
  <c r="C149" i="12"/>
  <c r="C148" i="12"/>
  <c r="C156" i="12"/>
  <c r="C163" i="12"/>
  <c r="B180" i="12" l="1"/>
  <c r="C179" i="12"/>
  <c r="C178" i="12"/>
  <c r="C177" i="12"/>
  <c r="C176" i="12"/>
  <c r="C172" i="12"/>
  <c r="C180" i="12"/>
  <c r="C174" i="12"/>
  <c r="C175" i="12"/>
  <c r="C173" i="12"/>
  <c r="B192" i="12" l="1"/>
  <c r="C191" i="12"/>
  <c r="C190" i="12"/>
  <c r="C189" i="12"/>
  <c r="C188" i="12"/>
  <c r="C187" i="12"/>
  <c r="B204" i="12"/>
  <c r="C203" i="12"/>
  <c r="C202" i="12"/>
  <c r="C201" i="12"/>
  <c r="C200" i="12"/>
  <c r="C199" i="12"/>
  <c r="C186" i="12"/>
  <c r="C185" i="12"/>
  <c r="C192" i="12"/>
  <c r="C198" i="12"/>
  <c r="C184" i="12"/>
  <c r="C196" i="12"/>
  <c r="C204" i="12"/>
  <c r="C197" i="12"/>
  <c r="B216" i="12" l="1"/>
  <c r="C215" i="12"/>
  <c r="C214" i="12"/>
  <c r="C213" i="12"/>
  <c r="C212" i="12"/>
  <c r="B228" i="12"/>
  <c r="C227" i="12"/>
  <c r="C226" i="12"/>
  <c r="C225" i="12"/>
  <c r="C224" i="12"/>
  <c r="C223" i="12"/>
  <c r="C222" i="12"/>
  <c r="C221" i="12"/>
  <c r="E95" i="1"/>
  <c r="C211" i="12"/>
  <c r="C208" i="12"/>
  <c r="C210" i="12"/>
  <c r="C228" i="12"/>
  <c r="C209" i="12"/>
  <c r="C216" i="12"/>
  <c r="C220" i="12"/>
  <c r="C71" i="10"/>
  <c r="C155" i="10"/>
  <c r="B240" i="12" l="1"/>
  <c r="C239" i="12"/>
  <c r="C238" i="12"/>
  <c r="C237" i="12"/>
  <c r="C236"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234" i="12"/>
  <c r="C232" i="12"/>
  <c r="C233" i="12"/>
  <c r="C235" i="12"/>
  <c r="C240" i="12"/>
  <c r="C67" i="10"/>
  <c r="C130" i="10"/>
  <c r="C86" i="10"/>
  <c r="C168" i="10"/>
  <c r="C99" i="10"/>
  <c r="C102" i="10"/>
  <c r="C80" i="10"/>
  <c r="C52" i="10"/>
  <c r="C27" i="10"/>
  <c r="C118" i="10"/>
  <c r="C60" i="10"/>
  <c r="C93" i="10"/>
  <c r="C100" i="10"/>
  <c r="C134" i="10"/>
  <c r="C85" i="10"/>
  <c r="C140" i="10"/>
  <c r="C11" i="10"/>
  <c r="C124" i="10"/>
  <c r="C54" i="10"/>
  <c r="C22" i="10"/>
  <c r="C47" i="10"/>
  <c r="C146" i="10"/>
  <c r="C59" i="10"/>
  <c r="C135" i="10"/>
  <c r="C128" i="10"/>
  <c r="C166" i="10"/>
  <c r="C9" i="10"/>
  <c r="C79" i="10"/>
  <c r="C101" i="10"/>
  <c r="C58" i="10"/>
  <c r="C46" i="10"/>
  <c r="C78" i="10"/>
  <c r="C16" i="10"/>
  <c r="C73" i="10"/>
  <c r="C117" i="10"/>
  <c r="C10" i="10"/>
  <c r="C87" i="10"/>
  <c r="C122" i="10"/>
  <c r="C81" i="10"/>
  <c r="C29" i="10"/>
  <c r="C141" i="10"/>
  <c r="C107" i="10"/>
  <c r="C15" i="10"/>
  <c r="C4" i="10"/>
  <c r="C48" i="10"/>
  <c r="C112" i="10"/>
  <c r="C23" i="10"/>
  <c r="C153" i="10"/>
  <c r="C152" i="10"/>
  <c r="C72" i="10"/>
  <c r="C98" i="10"/>
  <c r="C42" i="10"/>
  <c r="C142" i="10"/>
  <c r="C21" i="10"/>
  <c r="C106" i="10"/>
  <c r="C94" i="10"/>
  <c r="C17" i="10"/>
  <c r="C161" i="10"/>
  <c r="C39" i="10"/>
  <c r="C65" i="10"/>
  <c r="C162" i="10"/>
  <c r="C35" i="10"/>
  <c r="C74" i="10"/>
  <c r="C154" i="10"/>
  <c r="C113" i="10"/>
  <c r="C5" i="10"/>
  <c r="C40" i="10"/>
  <c r="C41" i="10"/>
  <c r="C129" i="10"/>
  <c r="C167" i="10"/>
  <c r="C147" i="10"/>
  <c r="C123" i="10"/>
  <c r="C160" i="10"/>
  <c r="C33" i="10"/>
  <c r="C53" i="10"/>
  <c r="C156" i="10"/>
  <c r="C88" i="10"/>
  <c r="C148" i="10"/>
  <c r="C92" i="10"/>
  <c r="C64" i="10"/>
  <c r="C34" i="10"/>
  <c r="C136" i="10"/>
  <c r="C28" i="10"/>
  <c r="C108" i="10"/>
  <c r="C66" i="10"/>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<sst xmlns="http://schemas.openxmlformats.org/spreadsheetml/2006/main" count="1134" uniqueCount="220">
  <si>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</si>
  <si>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</si>
  <si>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</si>
  <si>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</si>
  <si>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</si>
  <si>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</si>
  <si>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</si>
  <si>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</si>
  <si>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</si>
  <si>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</si>
  <si>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</si>
  <si>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</si>
  <si>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</si>
  <si>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</si>
  <si>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</si>
  <si>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</si>
  <si>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</si>
  <si>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</si>
  <si>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</si>
  <si>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</si>
  <si>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</si>
  <si>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</si>
  <si>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</si>
  <si>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</si>
  <si>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</si>
  <si>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</si>
  <si>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</si>
  <si>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</si>
  <si>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</si>
  <si>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</si>
  <si>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</si>
  <si>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</si>
  <si>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</si>
  <si>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</si>
  <si>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</si>
  <si>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</si>
  <si>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</si>
  <si>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</si>
  <si>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</si>
  <si>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</si>
  <si>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</si>
  <si>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</si>
  <si>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</si>
  <si>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</si>
  <si>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</si>
  <si>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</si>
  <si>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</si>
  <si>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</si>
  <si>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</si>
  <si>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</si>
  <si>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</si>
  <si>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</si>
  <si>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</si>
  <si>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</si>
  <si>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</si>
  <si>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</si>
  <si>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</si>
  <si>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</si>
  <si>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</si>
  <si>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</si>
  <si>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</si>
  <si>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</si>
  <si>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</si>
  <si>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</si>
  <si>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</si>
  <si>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</si>
  <si>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</si>
  <si>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</si>
  <si>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</si>
  <si>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</si>
  <si>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</si>
  <si>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</si>
  <si>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</si>
  <si>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</si>
  <si>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</si>
  <si>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</si>
  <si>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</si>
  <si>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</si>
  <si>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</si>
  <si>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</si>
  <si>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</si>
  <si>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</si>
  <si>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</si>
  <si>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</si>
  <si>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</si>
  <si>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</si>
  <si>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</si>
  <si>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</si>
  <si>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</si>
  <si>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</si>
  <si>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</si>
  <si>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</si>
  <si>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</si>
  <si>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</si>
  <si>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</si>
  <si>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</si>
  <si>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</si>
  <si>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</si>
  <si>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</si>
  <si>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</si>
  <si>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</si>
  <si>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</si>
  <si>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</si>
  <si>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</si>
  <si>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</si>
  <si>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</si>
  <si>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</si>
  <si>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</si>
  <si>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</si>
  <si>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</si>
  <si>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</si>
  <si>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</si>
  <si>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</si>
  <si>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</si>
  <si>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</si>
  <si>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</si>
  <si>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</si>
  <si>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</si>
  <si>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</si>
  <si>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</si>
  <si>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</si>
  <si>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</si>
  <si>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</si>
  <si>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</si>
  <si>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</si>
  <si>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</si>
  <si>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</si>
  <si>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</si>
  <si>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</si>
  <si>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</si>
  <si>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</si>
  <si>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</si>
  <si>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</si>
  <si>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</si>
  <si>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</si>
  <si>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</si>
  <si>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</si>
  <si>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</si>
  <si>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</si>
  <si>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</si>
  <si>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</si>
  <si>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</si>
  <si>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</si>
  <si>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</si>
  <si>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</si>
  <si>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</si>
  <si>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</si>
  <si>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</si>
  <si>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</si>
  <si>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</si>
  <si>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</si>
  <si>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</si>
  <si>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</si>
  <si>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</si>
  <si>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</si>
  <si>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</si>
  <si>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</si>
  <si>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</si>
  <si>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</si>
  <si>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</si>
  <si>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</si>
  <si>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</si>
  <si>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</si>
  <si>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</si>
  <si>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</si>
  <si>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</si>
  <si>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</si>
  <si>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</si>
  <si>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</si>
  <si>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</si>
  <si>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</si>
  <si>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</si>
  <si>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</si>
  <si>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</si>
  <si>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</si>
  <si>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</si>
  <si>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</si>
  <si>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</si>
  <si>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</si>
  <si>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</si>
  <si>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</si>
  <si>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</si>
  <si>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</si>
  <si>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</si>
  <si>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</si>
  <si>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</si>
  <si>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</si>
  <si>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</si>
  <si>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</si>
  <si>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</si>
  <si>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</si>
  <si>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</si>
  <si>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</si>
  <si>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</si>
  <si>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</si>
  <si>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</si>
  <si>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</si>
  <si>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</si>
  <si>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</si>
  <si>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</si>
  <si>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</si>
  <si>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</si>
  <si>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</si>
  <si>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</si>
  <si>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</si>
  <si>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</si>
  <si>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</si>
  <si>
    <t>Continué la partie réalisation : expliqué la gestion des collisions avec les bords et expliqué la mise en place de l'environnement. J'ai également trouvé un problème dans une des formules que j'ai utilisées pour la gestion des collisions. J'essaie de refaire ma démarche pour voir à quelle moment de l'équation l'erreur survient.</t>
  </si>
  <si>
    <t>Résolu le problème que j'ai trouvé lundi dans la formule. L'erreur était dû au fait que je considérais une vitesse comme absolue au lieu de la considérer comme un vecteur. À présent c'est résolu et la formule est valide.
Ce problème n'était dû qu'à une erreur de logique dans le développement mathématique, les collisions entre les billes fonctionnaient très bien mais il était mal expliqué.</t>
  </si>
  <si>
    <t>Commencé à implémenter la simulation de balistique. Le lanceur de projectiles a été réutilisé donc l'implémentation a été plutôt rapide.
Il est maintenant possible de positionner verticalement la cible et de lancer un projectile. En cas de collision avec la cible, la simulation se remet à zéro (j'implémenterai le message d'info plus tard). Le comportement est le même si le projectile dépasse les limites de la simulation (à gauche, en bas et à droite), sauf pour le haut où j'ai préféré laisser une marge qui permettra à l'utilisateur d'effectuer des trajectoires paraboliques qui sortiront des limites de la fenêtre.</t>
  </si>
  <si>
    <t>Attente car classe pas ouverte</t>
  </si>
  <si>
    <t>Je suis retourné sur la conception des formules pour le calcul de l'accélération subie par le projectile en fonction de la vitesse et de l'intensité du vent car j'ai remarqué qu'il y avait une erreur.</t>
  </si>
  <si>
    <t xml:space="preserve">Implémenté le vent dans la simulation de balistique. Pour l'instant, le vecteur du vent est en dur dans le code mais le calcul du frottement fonctionne. Ça a fonctionné du premier coup.
</t>
  </si>
  <si>
    <t>Implémenté une classe flèche qui me sera utile pour afficher la direction et l'intensité du vent dans la simulation de balistique.</t>
  </si>
  <si>
    <t>Terminer d'implémenter le widget permettant de sélectionner la direction et l'intensité du vent (voir screen à droite).
Son fonctionnement est très simple. La base de la flèche est fixée au centre du cercle mais l'on peut utiliser la souris pour changer la position du bout de la flèche. L'intensité du vent sera proportionnelle à la taille de la flèche. Évidemment, la direction du vent sera la même que celle de la flèche.
Ce widget permet d'orienter le vent dans toutes les directions. Il est donc par exemple possible que le vent aille vers le haut, ce qui aura pour effet de ralentir le projectile dans sa chute.</t>
  </si>
  <si>
    <t xml:space="preserve">Réunion avec M. Carrel pour faire le point sur l'avancement du projet. </t>
  </si>
  <si>
    <t>Continué la réalisation</t>
  </si>
  <si>
    <t>Continué de documenter la réalisation</t>
  </si>
  <si>
    <t>Rempli le JT pour la journée entière</t>
  </si>
  <si>
    <t>Rendu intermédiaire : création des GIFs et envoi du mail aux experts.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</si>
</sst>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194717"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99</xdr:row>
      <xdr:rowOff>76200</xdr:rowOff>
    </xdr:from>
    <xdr:to>
      <xdr:col>5</xdr:col>
      <xdr:colOff>963135</xdr:colOff>
      <xdr:row>103</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twoCellAnchor editAs="oneCell">
    <xdr:from>
      <xdr:col>4</xdr:col>
      <xdr:colOff>390525</xdr:colOff>
      <xdr:row>15</xdr:row>
      <xdr:rowOff>200024</xdr:rowOff>
    </xdr:from>
    <xdr:to>
      <xdr:col>5</xdr:col>
      <xdr:colOff>941743</xdr:colOff>
      <xdr:row>22</xdr:row>
      <xdr:rowOff>57149</xdr:rowOff>
    </xdr:to>
    <xdr:pic>
      <xdr:nvPicPr>
        <xdr:cNvPr id="2" name="Imag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29700" y="1590674"/>
          <a:ext cx="2560993" cy="23145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abSelected="1" topLeftCell="ARD1" zoomScale="55" zoomScaleNormal="55" zoomScaleSheetLayoutView="43" workbookViewId="0">
      <selection activeCell="F94" sqref="F94:BOB9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33" t="s">
        <v>30</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25" t="str">
        <f>E96</f>
        <v>90h</v>
      </c>
      <c r="H9" s="225"/>
      <c r="I9" s="225"/>
      <c r="J9" s="225"/>
      <c r="K9" s="225"/>
      <c r="L9" s="225"/>
      <c r="M9" s="225"/>
      <c r="N9" s="225"/>
      <c r="O9" s="225"/>
      <c r="P9" s="225"/>
      <c r="Q9" s="225"/>
      <c r="R9" s="225"/>
      <c r="S9" s="225"/>
      <c r="T9" s="225"/>
      <c r="U9" s="225"/>
      <c r="V9" s="119"/>
      <c r="W9" s="232" t="s">
        <v>22</v>
      </c>
      <c r="X9" s="232"/>
      <c r="Y9" s="232"/>
      <c r="Z9" s="232"/>
      <c r="AA9" s="232"/>
      <c r="AB9" s="232"/>
      <c r="AC9" s="232"/>
      <c r="AD9" s="232"/>
      <c r="AE9" s="232"/>
      <c r="AF9" s="232"/>
      <c r="AG9" s="232"/>
      <c r="AH9" s="225" t="str">
        <f>E98</f>
        <v>65h55min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c r="HC10" s="216"/>
      <c r="HD10" s="216"/>
      <c r="HE10" s="216"/>
      <c r="HF10" s="216"/>
      <c r="HG10" s="216"/>
      <c r="HH10" s="216"/>
      <c r="HI10" s="216"/>
      <c r="HJ10" s="216"/>
      <c r="HK10" s="216"/>
      <c r="HL10" s="216"/>
      <c r="HM10" s="216"/>
      <c r="HN10" s="216"/>
      <c r="HO10" s="216"/>
      <c r="HP10" s="216"/>
      <c r="HQ10" s="216"/>
      <c r="HR10" s="216"/>
      <c r="HS10" s="216"/>
      <c r="HT10" s="216"/>
      <c r="HU10" s="216"/>
      <c r="HV10" s="216"/>
      <c r="HW10" s="216"/>
      <c r="HX10" s="216"/>
      <c r="HY10" s="216"/>
      <c r="HZ10" s="216"/>
      <c r="IA10" s="216"/>
      <c r="IB10" s="216"/>
      <c r="IC10" s="216"/>
      <c r="ID10" s="216"/>
      <c r="IE10" s="216"/>
      <c r="IF10" s="216"/>
      <c r="IG10" s="216"/>
      <c r="IH10" s="216"/>
      <c r="II10" s="216"/>
      <c r="IJ10" s="216"/>
      <c r="IK10" s="216"/>
      <c r="IL10" s="216"/>
      <c r="IM10" s="216"/>
      <c r="IN10" s="216"/>
      <c r="IO10" s="216"/>
      <c r="IP10" s="216"/>
      <c r="IQ10" s="216"/>
      <c r="IR10" s="216"/>
      <c r="IS10" s="216"/>
      <c r="IT10" s="216"/>
      <c r="IU10" s="216"/>
      <c r="IV10" s="216"/>
      <c r="IW10" s="216"/>
      <c r="IX10" s="216"/>
      <c r="IY10" s="216"/>
      <c r="IZ10" s="216"/>
      <c r="JA10" s="216"/>
      <c r="JB10" s="216"/>
      <c r="JC10" s="216"/>
      <c r="JD10" s="216"/>
      <c r="JE10" s="216"/>
      <c r="JF10" s="216"/>
      <c r="JG10" s="216"/>
      <c r="JH10" s="216"/>
      <c r="JI10" s="216"/>
      <c r="JJ10" s="216"/>
      <c r="JK10" s="216"/>
      <c r="JL10" s="216"/>
      <c r="JM10" s="216"/>
      <c r="JN10" s="216"/>
      <c r="JO10" s="216"/>
      <c r="JP10" s="216"/>
      <c r="JQ10" s="216"/>
      <c r="JR10" s="216"/>
      <c r="JS10" s="216"/>
      <c r="JT10" s="216"/>
      <c r="JU10" s="216"/>
      <c r="JV10" s="216"/>
      <c r="JW10" s="216"/>
      <c r="JX10" s="216"/>
      <c r="JY10" s="216"/>
      <c r="JZ10" s="216"/>
      <c r="KA10" s="216"/>
      <c r="KB10" s="216"/>
      <c r="KC10" s="216"/>
      <c r="KD10" s="216"/>
      <c r="KE10" s="216"/>
      <c r="KF10" s="216"/>
      <c r="KG10" s="216"/>
      <c r="KH10" s="216"/>
      <c r="KI10" s="216"/>
      <c r="KJ10" s="216"/>
      <c r="KK10" s="216"/>
      <c r="KL10" s="216"/>
      <c r="KM10" s="216"/>
      <c r="KN10" s="216"/>
      <c r="KO10" s="216"/>
      <c r="KP10" s="216"/>
      <c r="KQ10" s="216"/>
      <c r="KR10" s="216"/>
      <c r="KS10" s="216"/>
      <c r="KT10" s="216"/>
      <c r="KU10" s="216"/>
      <c r="KV10" s="216"/>
      <c r="KW10" s="216"/>
      <c r="KX10" s="216"/>
      <c r="KY10" s="216"/>
      <c r="KZ10" s="216"/>
      <c r="LA10" s="216"/>
      <c r="LB10" s="216"/>
      <c r="LC10" s="216"/>
      <c r="LD10" s="216"/>
      <c r="LE10" s="216"/>
      <c r="LF10" s="216"/>
      <c r="LG10" s="216"/>
      <c r="LH10" s="216"/>
      <c r="LI10" s="216"/>
      <c r="LJ10" s="216"/>
      <c r="LK10" s="216"/>
      <c r="LL10" s="216"/>
      <c r="LM10" s="216"/>
      <c r="LN10" s="216"/>
      <c r="LO10" s="216"/>
      <c r="LP10" s="216"/>
      <c r="LQ10" s="216"/>
      <c r="LR10" s="216"/>
      <c r="LS10" s="216"/>
      <c r="LT10" s="216"/>
      <c r="LU10" s="216"/>
      <c r="LV10" s="216"/>
      <c r="LW10" s="216"/>
      <c r="LX10" s="216"/>
      <c r="LY10" s="216"/>
      <c r="LZ10" s="216"/>
      <c r="MA10" s="216"/>
      <c r="MB10" s="216"/>
      <c r="MC10" s="216"/>
      <c r="MD10" s="216"/>
      <c r="ME10" s="216"/>
      <c r="MF10" s="216"/>
      <c r="MG10" s="216"/>
      <c r="MH10" s="216"/>
      <c r="MI10" s="216"/>
      <c r="MJ10" s="216"/>
      <c r="MK10" s="216"/>
      <c r="ML10" s="216"/>
      <c r="MM10" s="216"/>
      <c r="MN10" s="216"/>
      <c r="MO10" s="216"/>
      <c r="MP10" s="216"/>
      <c r="MQ10" s="216"/>
      <c r="MR10" s="216"/>
      <c r="MS10" s="216"/>
      <c r="MT10" s="216"/>
      <c r="MU10" s="216"/>
      <c r="MV10" s="216"/>
      <c r="MW10" s="216"/>
      <c r="MX10" s="216"/>
      <c r="MY10" s="216"/>
      <c r="MZ10" s="216"/>
      <c r="NA10" s="216"/>
      <c r="NB10" s="216"/>
      <c r="NC10" s="216"/>
      <c r="ND10" s="216"/>
      <c r="NE10" s="216"/>
      <c r="NF10" s="216"/>
      <c r="NG10" s="216"/>
      <c r="NH10" s="216"/>
      <c r="NI10" s="216"/>
      <c r="NJ10" s="216"/>
      <c r="NK10" s="216"/>
      <c r="NL10" s="216"/>
      <c r="NM10" s="216"/>
      <c r="NN10" s="216"/>
      <c r="NO10" s="216"/>
      <c r="NP10" s="216"/>
      <c r="NQ10" s="216"/>
      <c r="NR10" s="216"/>
      <c r="NS10" s="216"/>
      <c r="NT10" s="216"/>
      <c r="NU10" s="216"/>
      <c r="NV10" s="216"/>
      <c r="NW10" s="216"/>
      <c r="NX10" s="216"/>
      <c r="NY10" s="216"/>
      <c r="NZ10" s="216"/>
      <c r="OA10" s="216"/>
      <c r="OB10" s="216"/>
      <c r="OC10" s="216"/>
      <c r="OD10" s="216"/>
      <c r="OE10" s="216"/>
      <c r="OF10" s="216"/>
      <c r="OG10" s="216"/>
      <c r="OH10" s="216"/>
      <c r="OI10" s="216"/>
      <c r="OJ10" s="216"/>
      <c r="OK10" s="216"/>
      <c r="OL10" s="216"/>
      <c r="OM10" s="216"/>
      <c r="ON10" s="216"/>
      <c r="OO10" s="216"/>
      <c r="OP10" s="216"/>
      <c r="OQ10" s="216"/>
      <c r="OR10" s="216"/>
      <c r="OS10" s="216"/>
      <c r="OT10" s="216"/>
      <c r="OU10" s="216"/>
      <c r="OV10" s="216"/>
      <c r="OW10" s="216"/>
      <c r="OX10" s="216"/>
      <c r="OY10" s="216"/>
      <c r="OZ10" s="216"/>
      <c r="PA10" s="216"/>
      <c r="PB10" s="216"/>
      <c r="PC10" s="216"/>
      <c r="PD10" s="216"/>
      <c r="PE10" s="216"/>
      <c r="PF10" s="216"/>
      <c r="PG10" s="216"/>
      <c r="PH10" s="216"/>
      <c r="PI10" s="216"/>
      <c r="PJ10" s="216"/>
      <c r="PK10" s="216"/>
      <c r="PL10" s="216"/>
      <c r="PM10" s="216"/>
      <c r="PN10" s="216"/>
      <c r="PO10" s="216"/>
      <c r="PP10" s="216"/>
      <c r="PQ10" s="216"/>
      <c r="PR10" s="216"/>
      <c r="PS10" s="216"/>
      <c r="PT10" s="216"/>
      <c r="PU10" s="216"/>
      <c r="PV10" s="216"/>
      <c r="PW10" s="216"/>
      <c r="PX10" s="216"/>
      <c r="PY10" s="216"/>
      <c r="PZ10" s="216"/>
      <c r="QA10" s="216"/>
      <c r="QB10" s="216"/>
      <c r="QC10" s="216"/>
      <c r="QD10" s="216"/>
      <c r="QE10" s="216"/>
      <c r="QF10" s="216"/>
      <c r="QG10" s="216"/>
      <c r="QH10" s="216"/>
      <c r="QI10" s="216"/>
      <c r="QJ10" s="216"/>
      <c r="QK10" s="216"/>
      <c r="QL10" s="216"/>
      <c r="QM10" s="216"/>
      <c r="QN10" s="216"/>
      <c r="QO10" s="216"/>
      <c r="QP10" s="216"/>
      <c r="QQ10" s="216"/>
      <c r="QR10" s="216"/>
      <c r="QS10" s="216"/>
      <c r="QT10" s="216"/>
      <c r="QU10" s="216"/>
      <c r="QV10" s="216"/>
      <c r="QW10" s="216"/>
      <c r="QX10" s="216"/>
      <c r="QY10" s="216"/>
      <c r="QZ10" s="216"/>
      <c r="RA10" s="216"/>
      <c r="RB10" s="216"/>
      <c r="RC10" s="216"/>
      <c r="RD10" s="216"/>
      <c r="RE10" s="216"/>
      <c r="RF10" s="216"/>
      <c r="RG10" s="216"/>
      <c r="RH10" s="216"/>
      <c r="RI10" s="216"/>
      <c r="RJ10" s="216"/>
      <c r="RK10" s="216"/>
      <c r="RL10" s="216"/>
      <c r="RM10" s="216"/>
      <c r="RN10" s="216"/>
      <c r="RO10" s="216"/>
      <c r="RP10" s="216"/>
      <c r="RQ10" s="216"/>
      <c r="RR10" s="216"/>
      <c r="RS10" s="216"/>
      <c r="RT10" s="216"/>
      <c r="RU10" s="216"/>
      <c r="RV10" s="216"/>
      <c r="RW10" s="216"/>
      <c r="RX10" s="216"/>
      <c r="RY10" s="216"/>
      <c r="RZ10" s="216"/>
      <c r="SA10" s="216"/>
      <c r="SB10" s="216"/>
      <c r="SC10" s="216"/>
      <c r="SD10" s="216"/>
      <c r="SE10" s="216"/>
      <c r="SF10" s="216"/>
      <c r="SG10" s="216"/>
      <c r="SH10" s="216"/>
      <c r="SI10" s="216"/>
      <c r="SJ10" s="216"/>
      <c r="SK10" s="216"/>
      <c r="SL10" s="216"/>
      <c r="SM10" s="216"/>
      <c r="SN10" s="216"/>
      <c r="SO10" s="216"/>
      <c r="SP10" s="216"/>
      <c r="SQ10" s="216"/>
      <c r="SR10" s="216"/>
      <c r="SS10" s="216"/>
      <c r="ST10" s="216"/>
      <c r="SU10" s="216"/>
      <c r="SV10" s="216"/>
      <c r="SW10" s="216"/>
      <c r="SX10" s="216"/>
      <c r="SY10" s="216"/>
      <c r="SZ10" s="216"/>
      <c r="TA10" s="216"/>
      <c r="TB10" s="216"/>
      <c r="TC10" s="216"/>
      <c r="TD10" s="216"/>
      <c r="TE10" s="216"/>
      <c r="TF10" s="216"/>
      <c r="TG10" s="216"/>
      <c r="TH10" s="216"/>
      <c r="TI10" s="216"/>
      <c r="TJ10" s="216"/>
      <c r="TK10" s="216"/>
      <c r="TL10" s="216"/>
      <c r="TM10" s="216"/>
      <c r="TN10" s="216"/>
      <c r="TO10" s="216"/>
      <c r="TP10" s="216"/>
      <c r="TQ10" s="216"/>
      <c r="TR10" s="216"/>
      <c r="TS10" s="216"/>
      <c r="TT10" s="216"/>
      <c r="TU10" s="216"/>
      <c r="TV10" s="216"/>
      <c r="TW10" s="216"/>
      <c r="TX10" s="216"/>
      <c r="TY10" s="216"/>
      <c r="TZ10" s="216"/>
      <c r="UA10" s="216"/>
      <c r="UB10" s="216"/>
      <c r="UC10" s="216"/>
      <c r="UD10" s="216"/>
      <c r="UE10" s="216"/>
      <c r="UF10" s="216"/>
      <c r="UG10" s="216"/>
      <c r="UH10" s="216"/>
      <c r="UI10" s="216"/>
      <c r="UJ10" s="216"/>
      <c r="UK10" s="216"/>
      <c r="UL10" s="216"/>
      <c r="UM10" s="216"/>
      <c r="UN10" s="216"/>
      <c r="UO10" s="216"/>
      <c r="UP10" s="216"/>
      <c r="UQ10" s="216"/>
      <c r="UR10" s="216"/>
      <c r="US10" s="216"/>
      <c r="UT10" s="216"/>
      <c r="UU10" s="216"/>
      <c r="UV10" s="216"/>
      <c r="UW10" s="216"/>
      <c r="UX10" s="216"/>
      <c r="UY10" s="216"/>
      <c r="UZ10" s="216"/>
      <c r="VA10" s="216"/>
      <c r="VB10" s="216"/>
      <c r="VC10" s="216"/>
      <c r="VD10" s="216"/>
      <c r="VE10" s="216"/>
      <c r="VF10" s="216"/>
      <c r="VG10" s="216"/>
      <c r="VH10" s="216"/>
      <c r="VI10" s="216"/>
      <c r="VJ10" s="216"/>
      <c r="VK10" s="216"/>
      <c r="VL10" s="216"/>
      <c r="VM10" s="216"/>
      <c r="VN10" s="216"/>
      <c r="VO10" s="216"/>
      <c r="VP10" s="216"/>
      <c r="VQ10" s="216"/>
      <c r="VR10" s="216"/>
      <c r="VS10" s="216"/>
      <c r="VT10" s="216"/>
      <c r="VU10" s="216"/>
      <c r="VV10" s="216"/>
      <c r="VW10" s="216"/>
      <c r="VX10" s="216"/>
      <c r="VY10" s="216"/>
      <c r="VZ10" s="216"/>
      <c r="WA10" s="216"/>
      <c r="WB10" s="216"/>
      <c r="WC10" s="216"/>
      <c r="WD10" s="216"/>
      <c r="WE10" s="216"/>
      <c r="WF10" s="216"/>
      <c r="WG10" s="216"/>
      <c r="WH10" s="216"/>
      <c r="WI10" s="216"/>
      <c r="WJ10" s="216"/>
      <c r="WK10" s="216"/>
      <c r="WL10" s="216"/>
      <c r="WM10" s="216"/>
      <c r="WN10" s="216"/>
      <c r="WO10" s="216"/>
      <c r="WP10" s="216"/>
      <c r="WQ10" s="216"/>
      <c r="WR10" s="216"/>
      <c r="WS10" s="216"/>
      <c r="WT10" s="216"/>
      <c r="WU10" s="216"/>
      <c r="WV10" s="216"/>
      <c r="WW10" s="216"/>
      <c r="WX10" s="216"/>
      <c r="WY10" s="216"/>
      <c r="WZ10" s="216"/>
      <c r="XA10" s="216"/>
      <c r="XB10" s="216"/>
      <c r="XC10" s="216"/>
      <c r="XD10" s="216"/>
      <c r="XE10" s="216"/>
      <c r="XF10" s="216"/>
      <c r="XG10" s="216"/>
      <c r="XH10" s="216"/>
      <c r="XI10" s="216"/>
      <c r="XJ10" s="216"/>
      <c r="XK10" s="216"/>
      <c r="XL10" s="216"/>
      <c r="XM10" s="216"/>
      <c r="XN10" s="216"/>
      <c r="XO10" s="216"/>
      <c r="XP10" s="216"/>
      <c r="XQ10" s="216"/>
      <c r="XR10" s="216"/>
      <c r="XS10" s="216"/>
      <c r="XT10" s="216"/>
      <c r="XU10" s="216"/>
      <c r="XV10" s="216"/>
      <c r="XW10" s="216"/>
      <c r="XX10" s="216"/>
      <c r="XY10" s="216"/>
      <c r="XZ10" s="216"/>
      <c r="YA10" s="216"/>
      <c r="YB10" s="216"/>
      <c r="YC10" s="216"/>
      <c r="YD10" s="216"/>
      <c r="YE10" s="216"/>
      <c r="YF10" s="216"/>
      <c r="YG10" s="216"/>
      <c r="YH10" s="216"/>
      <c r="YI10" s="216"/>
      <c r="YJ10" s="216"/>
      <c r="YK10" s="216"/>
      <c r="YL10" s="216"/>
      <c r="YM10" s="216"/>
      <c r="YN10" s="216"/>
      <c r="YO10" s="216"/>
      <c r="YP10" s="216"/>
      <c r="YQ10" s="216"/>
      <c r="YR10" s="216"/>
      <c r="YS10" s="216"/>
      <c r="YT10" s="216"/>
      <c r="YU10" s="216"/>
      <c r="YV10" s="216"/>
      <c r="YW10" s="216"/>
      <c r="YX10" s="216"/>
      <c r="YY10" s="216"/>
      <c r="YZ10" s="216"/>
      <c r="ZA10" s="216"/>
      <c r="ZB10" s="216"/>
      <c r="ZC10" s="216"/>
      <c r="ZD10" s="216"/>
      <c r="ZE10" s="216"/>
      <c r="ZF10" s="216"/>
      <c r="ZG10" s="216"/>
      <c r="ZH10" s="216"/>
      <c r="ZI10" s="216"/>
      <c r="ZJ10" s="216"/>
      <c r="ZK10" s="216"/>
      <c r="ZL10" s="216"/>
      <c r="ZM10" s="216"/>
      <c r="ZN10" s="216"/>
      <c r="ZO10" s="216"/>
      <c r="ZP10" s="216"/>
      <c r="ZQ10" s="216"/>
      <c r="ZR10" s="216"/>
      <c r="ZS10" s="216"/>
      <c r="ZT10" s="216"/>
      <c r="ZU10" s="216"/>
      <c r="ZV10" s="216"/>
      <c r="ZW10" s="216"/>
      <c r="ZX10" s="216"/>
      <c r="ZY10" s="216"/>
      <c r="ZZ10" s="216"/>
      <c r="AAA10" s="216"/>
      <c r="AAB10" s="216"/>
      <c r="AAC10" s="216"/>
      <c r="AAD10" s="216"/>
      <c r="AAE10" s="216"/>
      <c r="AAF10" s="216"/>
      <c r="AAG10" s="216"/>
      <c r="AAH10" s="216"/>
      <c r="AAI10" s="216"/>
      <c r="AAJ10" s="216"/>
      <c r="AAK10" s="216"/>
      <c r="AAL10" s="216"/>
      <c r="AAM10" s="216"/>
      <c r="AAN10" s="216"/>
      <c r="AAO10" s="216"/>
      <c r="AAP10" s="216"/>
      <c r="AAQ10" s="216"/>
      <c r="AAR10" s="216"/>
      <c r="AAS10" s="216"/>
      <c r="AAT10" s="216"/>
      <c r="AAU10" s="216"/>
      <c r="AAV10" s="216"/>
      <c r="AAW10" s="216"/>
      <c r="AAX10" s="216"/>
      <c r="AAY10" s="216"/>
      <c r="AAZ10" s="216"/>
      <c r="ABA10" s="216"/>
      <c r="ABB10" s="216"/>
      <c r="ABC10" s="216"/>
      <c r="ABD10" s="216"/>
      <c r="ABE10" s="216"/>
      <c r="ABF10" s="216"/>
      <c r="ABG10" s="216"/>
      <c r="ABH10" s="216"/>
      <c r="ABI10" s="216"/>
      <c r="ABJ10" s="216"/>
      <c r="ABK10" s="216"/>
      <c r="ABL10" s="216"/>
      <c r="ABM10" s="216"/>
      <c r="ABN10" s="216"/>
      <c r="ABO10" s="216"/>
      <c r="ABP10" s="216"/>
      <c r="ABQ10" s="216"/>
      <c r="ABR10" s="216"/>
      <c r="ABS10" s="216"/>
      <c r="ABT10" s="216"/>
      <c r="ABU10" s="216"/>
      <c r="ABV10" s="216"/>
      <c r="ABW10" s="216"/>
      <c r="ABX10" s="216"/>
      <c r="ABY10" s="216"/>
      <c r="ABZ10" s="216"/>
      <c r="ACA10" s="216"/>
      <c r="ACB10" s="216"/>
      <c r="ACC10" s="216"/>
      <c r="ACD10" s="216"/>
      <c r="ACE10" s="216"/>
      <c r="ACF10" s="216"/>
      <c r="ACG10" s="216"/>
      <c r="ACH10" s="216"/>
      <c r="ACI10" s="216"/>
      <c r="ACJ10" s="216"/>
      <c r="ACK10" s="216"/>
      <c r="ACL10" s="216"/>
      <c r="ACM10" s="216"/>
      <c r="ACN10" s="216"/>
      <c r="ACO10" s="216"/>
      <c r="ACP10" s="216"/>
      <c r="ACQ10" s="216"/>
      <c r="ACR10" s="216"/>
      <c r="ACS10" s="216"/>
      <c r="ACT10" s="216"/>
      <c r="ACU10" s="216"/>
      <c r="ACV10" s="216"/>
      <c r="ACW10" s="216"/>
      <c r="ACX10" s="216"/>
      <c r="ACY10" s="216"/>
      <c r="ACZ10" s="216"/>
      <c r="ADA10" s="216"/>
      <c r="ADB10" s="216"/>
      <c r="ADC10" s="216"/>
      <c r="ADD10" s="216"/>
      <c r="ADE10" s="216"/>
      <c r="ADF10" s="216"/>
      <c r="ADG10" s="216"/>
      <c r="ADH10" s="216"/>
      <c r="ADI10" s="216"/>
      <c r="ADJ10" s="216"/>
      <c r="ADK10" s="216"/>
      <c r="ADL10" s="216"/>
      <c r="ADM10" s="216"/>
      <c r="ADN10" s="216"/>
      <c r="ADO10" s="216"/>
      <c r="ADP10" s="216"/>
      <c r="ADQ10" s="216"/>
      <c r="ADR10" s="216"/>
      <c r="ADS10" s="216"/>
      <c r="ADT10" s="216"/>
      <c r="ADU10" s="216"/>
      <c r="ADV10" s="216"/>
      <c r="ADW10" s="216"/>
      <c r="ADX10" s="216"/>
      <c r="ADY10" s="216"/>
      <c r="ADZ10" s="216"/>
      <c r="AEA10" s="216"/>
      <c r="AEB10" s="216"/>
      <c r="AEC10" s="216"/>
      <c r="AED10" s="216"/>
      <c r="AEE10" s="216"/>
      <c r="AEF10" s="216"/>
      <c r="AEG10" s="216"/>
      <c r="AEH10" s="216"/>
      <c r="AEI10" s="216"/>
      <c r="AEJ10" s="216"/>
      <c r="AEK10" s="216"/>
      <c r="AEL10" s="216"/>
      <c r="AEM10" s="216"/>
      <c r="AEN10" s="216"/>
      <c r="AEO10" s="216"/>
      <c r="AEP10" s="216"/>
      <c r="AEQ10" s="216"/>
      <c r="AER10" s="216"/>
      <c r="AES10" s="216"/>
      <c r="AET10" s="216"/>
      <c r="AEU10" s="216"/>
      <c r="AEV10" s="216"/>
      <c r="AEW10" s="216"/>
      <c r="AEX10" s="216"/>
      <c r="AEY10" s="216"/>
      <c r="AEZ10" s="216"/>
      <c r="AFA10" s="216"/>
      <c r="AFB10" s="216"/>
      <c r="AFC10" s="216"/>
      <c r="AFD10" s="216"/>
      <c r="AFE10" s="216"/>
      <c r="AFF10" s="216"/>
      <c r="AFG10" s="216"/>
      <c r="AFH10" s="216"/>
      <c r="AFI10" s="216"/>
      <c r="AFJ10" s="216"/>
      <c r="AFK10" s="216"/>
      <c r="AFL10" s="216"/>
      <c r="AFM10" s="216"/>
      <c r="AFN10" s="216"/>
      <c r="AFO10" s="216"/>
      <c r="AFP10" s="216"/>
      <c r="AFQ10" s="216"/>
      <c r="AFR10" s="216"/>
      <c r="AFS10" s="216"/>
      <c r="AFT10" s="216"/>
      <c r="AFU10" s="216"/>
      <c r="AFV10" s="216"/>
      <c r="AFW10" s="216"/>
      <c r="AFX10" s="216"/>
      <c r="AFY10" s="216"/>
      <c r="AFZ10" s="216"/>
      <c r="AGA10" s="216"/>
      <c r="AGB10" s="216"/>
      <c r="AGC10" s="216"/>
      <c r="AGD10" s="216"/>
      <c r="AGE10" s="216"/>
      <c r="AGF10" s="216"/>
      <c r="AGG10" s="216"/>
      <c r="AGH10" s="216"/>
      <c r="AGI10" s="216"/>
      <c r="AGJ10" s="216"/>
      <c r="AGK10" s="216"/>
      <c r="AGL10" s="216"/>
      <c r="AGM10" s="216"/>
      <c r="AGN10" s="216"/>
      <c r="AGO10" s="216"/>
      <c r="AGP10" s="216"/>
      <c r="AGQ10" s="216"/>
      <c r="AGR10" s="216"/>
      <c r="AGS10" s="216"/>
      <c r="AGT10" s="216"/>
      <c r="AGU10" s="216"/>
      <c r="AGV10" s="216"/>
      <c r="AGW10" s="216"/>
      <c r="AGX10" s="216"/>
      <c r="AGY10" s="216"/>
      <c r="AGZ10" s="216"/>
      <c r="AHA10" s="216"/>
      <c r="AHB10" s="216"/>
      <c r="AHC10" s="216"/>
      <c r="AHD10" s="216"/>
      <c r="AHE10" s="216"/>
      <c r="AHF10" s="216"/>
      <c r="AHG10" s="216"/>
      <c r="AHH10" s="216"/>
      <c r="AHI10" s="216"/>
      <c r="AHJ10" s="216"/>
      <c r="AHK10" s="216"/>
      <c r="AHL10" s="216"/>
      <c r="AHM10" s="216"/>
      <c r="AHN10" s="216"/>
      <c r="AHO10" s="216"/>
      <c r="AHP10" s="216"/>
      <c r="AHQ10" s="216"/>
      <c r="AHR10" s="216"/>
      <c r="AHS10" s="216"/>
      <c r="AHT10" s="216"/>
      <c r="AHU10" s="216"/>
      <c r="AHV10" s="216"/>
      <c r="AHW10" s="216"/>
      <c r="AHX10" s="216"/>
      <c r="AHY10" s="216"/>
      <c r="AHZ10" s="216"/>
      <c r="AIA10" s="216"/>
      <c r="AIB10" s="216"/>
      <c r="AIC10" s="216"/>
      <c r="AID10" s="216"/>
      <c r="AIE10" s="216"/>
      <c r="AIF10" s="216"/>
      <c r="AIG10" s="216"/>
      <c r="AIH10" s="216"/>
      <c r="AII10" s="216"/>
      <c r="AIJ10" s="216"/>
      <c r="AIK10" s="216"/>
      <c r="AIL10" s="216"/>
      <c r="AIM10" s="216"/>
      <c r="AIN10" s="216"/>
      <c r="AIO10" s="216"/>
      <c r="AIP10" s="216"/>
      <c r="AIQ10" s="216"/>
      <c r="AIR10" s="216"/>
      <c r="AIS10" s="216"/>
      <c r="AIT10" s="216"/>
      <c r="AIU10" s="216"/>
      <c r="AIV10" s="216"/>
      <c r="AIW10" s="216"/>
      <c r="AIX10" s="216"/>
      <c r="AIY10" s="216"/>
      <c r="AIZ10" s="216"/>
      <c r="AJA10" s="216"/>
      <c r="AJB10" s="216"/>
      <c r="AJC10" s="216"/>
      <c r="AJD10" s="216"/>
      <c r="AJE10" s="216"/>
      <c r="AJF10" s="216"/>
      <c r="AJG10" s="216"/>
      <c r="AJH10" s="216"/>
      <c r="AJI10" s="216"/>
      <c r="AJJ10" s="216"/>
      <c r="AJK10" s="216"/>
      <c r="AJL10" s="216"/>
      <c r="AJM10" s="216"/>
      <c r="AJN10" s="216"/>
      <c r="AJO10" s="216"/>
      <c r="AJP10" s="216"/>
      <c r="AJQ10" s="216"/>
      <c r="AJR10" s="216"/>
      <c r="AJS10" s="216"/>
      <c r="AJT10" s="216"/>
      <c r="AJU10" s="216"/>
      <c r="AJV10" s="216"/>
      <c r="AJW10" s="216"/>
      <c r="AJX10" s="216"/>
      <c r="AJY10" s="216"/>
      <c r="AJZ10" s="216"/>
      <c r="AKA10" s="216"/>
      <c r="AKB10" s="216"/>
      <c r="AKC10" s="216"/>
      <c r="AKD10" s="216"/>
      <c r="AKE10" s="216"/>
      <c r="AKF10" s="216"/>
      <c r="AKG10" s="216"/>
      <c r="AKH10" s="216"/>
      <c r="AKI10" s="216"/>
      <c r="AKJ10" s="216"/>
      <c r="AKK10" s="216"/>
      <c r="AKL10" s="216"/>
      <c r="AKM10" s="216"/>
      <c r="AKN10" s="216"/>
      <c r="AKO10" s="216"/>
      <c r="AKP10" s="216"/>
      <c r="AKQ10" s="216"/>
      <c r="AKR10" s="216"/>
      <c r="AKS10" s="216"/>
      <c r="AKT10" s="216"/>
      <c r="AKU10" s="216"/>
      <c r="AKV10" s="216"/>
      <c r="AKW10" s="216"/>
      <c r="AKX10" s="216"/>
      <c r="AKY10" s="216"/>
      <c r="AKZ10" s="216"/>
      <c r="ALA10" s="216"/>
      <c r="ALB10" s="216"/>
      <c r="ALC10" s="216"/>
      <c r="ALD10" s="216"/>
      <c r="ALE10" s="216"/>
      <c r="ALF10" s="216"/>
      <c r="ALG10" s="216"/>
      <c r="ALH10" s="216"/>
      <c r="ALI10" s="216"/>
      <c r="ALJ10" s="216"/>
      <c r="ALK10" s="216"/>
      <c r="ALL10" s="216"/>
      <c r="ALM10" s="216"/>
      <c r="ALN10" s="216"/>
      <c r="ALO10" s="216"/>
      <c r="ALP10" s="216"/>
      <c r="ALQ10" s="216"/>
      <c r="ALR10" s="216"/>
      <c r="ALS10" s="216"/>
      <c r="ALT10" s="216"/>
      <c r="ALU10" s="216"/>
      <c r="ALV10" s="216"/>
      <c r="ALW10" s="216"/>
      <c r="ALX10" s="216"/>
      <c r="ALY10" s="216"/>
      <c r="ALZ10" s="216"/>
      <c r="AMA10" s="216"/>
      <c r="AMB10" s="216"/>
      <c r="AMC10" s="216"/>
      <c r="AMD10" s="216"/>
      <c r="AME10" s="216"/>
      <c r="AMF10" s="216"/>
      <c r="AMG10" s="216"/>
      <c r="AMH10" s="216"/>
      <c r="AMI10" s="216"/>
      <c r="AMJ10" s="216"/>
      <c r="AMK10" s="216"/>
      <c r="AML10" s="216"/>
      <c r="AMM10" s="216"/>
      <c r="AMN10" s="216"/>
      <c r="AMO10" s="216"/>
      <c r="AMP10" s="216"/>
      <c r="AMQ10" s="216"/>
      <c r="AMR10" s="216"/>
      <c r="AMS10" s="216"/>
      <c r="AMT10" s="216"/>
      <c r="AMU10" s="216"/>
      <c r="AMV10" s="216"/>
      <c r="AMW10" s="216"/>
      <c r="AMX10" s="216"/>
      <c r="AMY10" s="216"/>
      <c r="AMZ10" s="216"/>
      <c r="ANA10" s="216"/>
      <c r="ANB10" s="216"/>
      <c r="ANC10" s="216"/>
      <c r="AND10" s="216"/>
      <c r="ANE10" s="216"/>
      <c r="ANF10" s="216"/>
      <c r="ANG10" s="216"/>
      <c r="ANH10" s="216"/>
      <c r="ANI10" s="216"/>
      <c r="ANJ10" s="216"/>
      <c r="ANK10" s="216"/>
      <c r="ANL10" s="216"/>
      <c r="ANM10" s="216"/>
      <c r="ANN10" s="216"/>
      <c r="ANO10" s="216"/>
      <c r="ANP10" s="216"/>
      <c r="ANQ10" s="216"/>
      <c r="ANR10" s="216"/>
      <c r="ANS10" s="216"/>
      <c r="ANT10" s="216"/>
      <c r="ANU10" s="216"/>
      <c r="ANV10" s="216"/>
      <c r="ANW10" s="216"/>
      <c r="ANX10" s="216"/>
      <c r="ANY10" s="216"/>
      <c r="ANZ10" s="216"/>
      <c r="AOA10" s="216"/>
      <c r="AOB10" s="216"/>
      <c r="AOC10" s="216"/>
      <c r="AOD10" s="216"/>
      <c r="AOE10" s="216"/>
      <c r="AOF10" s="216"/>
      <c r="AOG10" s="216"/>
      <c r="AOH10" s="216"/>
      <c r="AOI10" s="216"/>
      <c r="AOJ10" s="216"/>
      <c r="AOK10" s="216"/>
      <c r="AOL10" s="216"/>
      <c r="AOM10" s="216"/>
      <c r="AON10" s="216"/>
      <c r="AOO10" s="216"/>
      <c r="AOP10" s="216"/>
      <c r="AOQ10" s="216"/>
      <c r="AOR10" s="216"/>
      <c r="AOS10" s="216"/>
      <c r="AOT10" s="216"/>
      <c r="AOU10" s="216"/>
      <c r="AOV10" s="216"/>
      <c r="AOW10" s="216"/>
      <c r="AOX10" s="216"/>
      <c r="AOY10" s="216"/>
      <c r="AOZ10" s="216"/>
      <c r="APA10" s="216"/>
      <c r="APB10" s="216"/>
      <c r="APC10" s="216"/>
      <c r="APD10" s="216"/>
      <c r="APE10" s="216"/>
      <c r="APF10" s="216"/>
      <c r="APG10" s="216"/>
      <c r="APH10" s="216"/>
      <c r="API10" s="216"/>
      <c r="APJ10" s="216"/>
      <c r="APK10" s="216"/>
      <c r="APL10" s="216"/>
      <c r="APM10" s="216"/>
      <c r="APN10" s="216"/>
      <c r="APO10" s="216"/>
      <c r="APP10" s="216"/>
      <c r="APQ10" s="216"/>
      <c r="APR10" s="216"/>
      <c r="APS10" s="216"/>
      <c r="APT10" s="216"/>
      <c r="APU10" s="216"/>
      <c r="APV10" s="216"/>
      <c r="APW10" s="216"/>
      <c r="APX10" s="216"/>
      <c r="APY10" s="216"/>
      <c r="APZ10" s="216"/>
      <c r="AQA10" s="216"/>
      <c r="AQB10" s="216"/>
      <c r="AQC10" s="216"/>
      <c r="AQD10" s="216"/>
      <c r="AQE10" s="216"/>
      <c r="AQF10" s="216"/>
      <c r="AQG10" s="216"/>
      <c r="AQH10" s="216"/>
      <c r="AQI10" s="216"/>
      <c r="AQJ10" s="216"/>
      <c r="AQK10" s="216"/>
      <c r="AQL10" s="216"/>
      <c r="AQM10" s="216"/>
      <c r="AQN10" s="216"/>
      <c r="AQO10" s="216"/>
      <c r="AQP10" s="216"/>
      <c r="AQQ10" s="216"/>
      <c r="AQR10" s="216"/>
      <c r="AQS10" s="216"/>
      <c r="AQT10" s="216"/>
      <c r="AQU10" s="216"/>
      <c r="AQV10" s="216"/>
      <c r="AQW10" s="216"/>
      <c r="AQX10" s="216"/>
      <c r="AQY10" s="216"/>
      <c r="AQZ10" s="216"/>
      <c r="ARA10" s="216"/>
      <c r="ARB10" s="216"/>
      <c r="ARC10" s="216"/>
      <c r="ARD10" s="216"/>
      <c r="ARE10" s="216"/>
      <c r="ARF10" s="216"/>
      <c r="ARG10" s="216"/>
      <c r="ARH10" s="216"/>
      <c r="ARI10" s="216"/>
      <c r="ARJ10" s="216"/>
      <c r="ARK10" s="216"/>
      <c r="ARL10" s="216"/>
      <c r="ARM10" s="216"/>
      <c r="ARN10" s="216"/>
      <c r="ARO10" s="216"/>
      <c r="ARP10" s="216"/>
      <c r="ARQ10" s="216"/>
      <c r="ARR10" s="216"/>
      <c r="ARS10" s="216"/>
      <c r="ART10" s="216"/>
      <c r="ARU10" s="216"/>
      <c r="ARV10" s="216"/>
      <c r="ARW10" s="216"/>
      <c r="ARX10" s="216"/>
      <c r="ARY10" s="216"/>
      <c r="ARZ10" s="216"/>
      <c r="ASA10" s="216"/>
      <c r="ASB10" s="216"/>
      <c r="ASC10" s="216"/>
      <c r="ASD10" s="216"/>
      <c r="ASE10" s="216"/>
      <c r="ASF10" s="216"/>
      <c r="ASG10" s="216"/>
      <c r="ASH10" s="216"/>
      <c r="ASI10" s="216"/>
      <c r="ASJ10" s="216"/>
      <c r="ASK10" s="216"/>
      <c r="ASL10" s="216"/>
      <c r="ASM10" s="216"/>
      <c r="ASN10" s="216"/>
      <c r="ASO10" s="216"/>
      <c r="ASP10" s="216"/>
      <c r="ASQ10" s="216"/>
      <c r="ASR10" s="216"/>
      <c r="ASS10" s="216"/>
      <c r="AST10" s="216"/>
      <c r="ASU10" s="216"/>
      <c r="ASV10" s="216"/>
      <c r="ASW10" s="216"/>
      <c r="ASX10" s="216"/>
      <c r="ASY10" s="216"/>
      <c r="ASZ10" s="216"/>
      <c r="ATA10" s="216"/>
      <c r="ATB10" s="216"/>
      <c r="ATC10" s="216"/>
      <c r="ATD10" s="216"/>
      <c r="ATE10" s="216"/>
      <c r="ATF10" s="216"/>
      <c r="ATG10" s="216"/>
      <c r="ATH10" s="216"/>
      <c r="ATI10" s="216"/>
      <c r="ATJ10" s="216"/>
      <c r="ATK10" s="216"/>
      <c r="ATL10" s="216"/>
      <c r="ATM10" s="216"/>
      <c r="ATN10" s="216"/>
      <c r="ATO10" s="216"/>
      <c r="ATP10" s="216"/>
      <c r="ATQ10" s="216"/>
      <c r="ATR10" s="216"/>
      <c r="ATS10" s="216"/>
      <c r="ATT10" s="216"/>
      <c r="ATU10" s="216"/>
      <c r="ATV10" s="216"/>
      <c r="ATW10" s="216"/>
      <c r="ATX10" s="216"/>
      <c r="ATY10" s="216"/>
      <c r="ATZ10" s="216"/>
      <c r="AUA10" s="216"/>
      <c r="AUB10" s="216"/>
      <c r="AUC10" s="216"/>
      <c r="AUD10" s="216"/>
      <c r="AUE10" s="216"/>
      <c r="AUF10" s="216"/>
      <c r="AUG10" s="216"/>
      <c r="AUH10" s="216"/>
      <c r="AUI10" s="216"/>
      <c r="AUJ10" s="216"/>
      <c r="AUK10" s="216"/>
      <c r="AUL10" s="216"/>
      <c r="AUM10" s="216"/>
      <c r="AUN10" s="216"/>
      <c r="AUO10" s="216"/>
      <c r="AUP10" s="216"/>
      <c r="AUQ10" s="216"/>
      <c r="AUR10" s="216"/>
      <c r="AUS10" s="216"/>
      <c r="AUT10" s="216"/>
      <c r="AUU10" s="216"/>
      <c r="AUV10" s="216"/>
      <c r="AUW10" s="216"/>
      <c r="AUX10" s="216"/>
      <c r="AUY10" s="216"/>
      <c r="AUZ10" s="216"/>
      <c r="AVA10" s="216"/>
      <c r="AVB10" s="216"/>
      <c r="AVC10" s="216"/>
      <c r="AVD10" s="216"/>
      <c r="AVE10" s="216"/>
      <c r="AVF10" s="216"/>
      <c r="AVG10" s="216"/>
      <c r="AVH10" s="216"/>
      <c r="AVI10" s="216"/>
      <c r="AVJ10" s="216"/>
      <c r="AVK10" s="216"/>
      <c r="AVL10" s="216"/>
      <c r="AVM10" s="216"/>
      <c r="AVN10" s="216"/>
      <c r="AVO10" s="216"/>
      <c r="AVP10" s="216"/>
      <c r="AVQ10" s="216"/>
      <c r="AVR10" s="216"/>
      <c r="AVS10" s="216"/>
      <c r="AVT10" s="216"/>
      <c r="AVU10" s="216"/>
      <c r="AVV10" s="216"/>
      <c r="AVW10" s="216"/>
      <c r="AVX10" s="216"/>
      <c r="AVY10" s="216"/>
      <c r="AVZ10" s="216"/>
      <c r="AWA10" s="216"/>
      <c r="AWB10" s="216"/>
      <c r="AWC10" s="216"/>
      <c r="AWD10" s="216"/>
      <c r="AWE10" s="216"/>
      <c r="AWF10" s="216"/>
      <c r="AWG10" s="216"/>
      <c r="AWH10" s="216"/>
      <c r="AWI10" s="216"/>
      <c r="AWJ10" s="216"/>
      <c r="AWK10" s="216"/>
      <c r="AWL10" s="216"/>
      <c r="AWM10" s="216"/>
      <c r="AWN10" s="216"/>
      <c r="AWO10" s="216"/>
      <c r="AWP10" s="216"/>
      <c r="AWQ10" s="216"/>
      <c r="AWR10" s="216"/>
      <c r="AWS10" s="216"/>
      <c r="AWT10" s="216"/>
      <c r="AWU10" s="216"/>
      <c r="AWV10" s="216"/>
      <c r="AWW10" s="216"/>
      <c r="AWX10" s="216"/>
      <c r="AWY10" s="216"/>
      <c r="AWZ10" s="216"/>
      <c r="AXA10" s="216"/>
      <c r="AXB10" s="216"/>
      <c r="AXC10" s="216"/>
      <c r="AXD10" s="216"/>
      <c r="AXE10" s="216"/>
      <c r="AXF10" s="216"/>
      <c r="AXG10" s="216"/>
      <c r="AXH10" s="216"/>
      <c r="AXI10" s="216"/>
      <c r="AXJ10" s="216"/>
      <c r="AXK10" s="216"/>
      <c r="AXL10" s="216"/>
      <c r="AXM10" s="216"/>
      <c r="AXN10" s="216"/>
      <c r="AXO10" s="216"/>
      <c r="AXP10" s="216"/>
      <c r="AXQ10" s="216"/>
      <c r="AXR10" s="216"/>
      <c r="AXS10" s="216"/>
      <c r="AXT10" s="216"/>
      <c r="AXU10" s="216"/>
      <c r="AXV10" s="216"/>
      <c r="AXW10" s="216"/>
      <c r="AXX10" s="216"/>
      <c r="AXY10" s="216"/>
      <c r="AXZ10" s="216"/>
      <c r="AYA10" s="216"/>
      <c r="AYB10" s="216"/>
      <c r="AYC10" s="216"/>
      <c r="AYD10" s="216"/>
      <c r="AYE10" s="216"/>
      <c r="AYF10" s="216"/>
      <c r="AYG10" s="216"/>
      <c r="AYH10" s="216"/>
      <c r="AYI10" s="216"/>
      <c r="AYJ10" s="216"/>
      <c r="AYK10" s="216"/>
      <c r="AYL10" s="216"/>
      <c r="AYM10" s="216"/>
      <c r="AYN10" s="216"/>
      <c r="AYO10" s="216"/>
      <c r="AYP10" s="216"/>
      <c r="AYQ10" s="216"/>
      <c r="AYR10" s="216"/>
      <c r="AYS10" s="216"/>
      <c r="AYT10" s="216"/>
      <c r="AYU10" s="216"/>
      <c r="AYV10" s="216"/>
      <c r="AYW10" s="216"/>
      <c r="AYX10" s="216"/>
      <c r="AYY10" s="216"/>
      <c r="AYZ10" s="216"/>
      <c r="AZA10" s="216"/>
      <c r="AZB10" s="216"/>
      <c r="AZC10" s="216"/>
      <c r="AZD10" s="216"/>
      <c r="AZE10" s="216"/>
      <c r="AZF10" s="216"/>
      <c r="AZG10" s="216"/>
      <c r="AZH10" s="216"/>
      <c r="AZI10" s="216"/>
      <c r="AZJ10" s="216"/>
      <c r="AZK10" s="216"/>
      <c r="AZL10" s="216"/>
      <c r="AZM10" s="216"/>
      <c r="AZN10" s="216"/>
      <c r="AZO10" s="216"/>
      <c r="AZP10" s="216"/>
      <c r="AZQ10" s="216"/>
      <c r="AZR10" s="216"/>
      <c r="AZS10" s="216"/>
      <c r="AZT10" s="216"/>
      <c r="AZU10" s="216"/>
      <c r="AZV10" s="216"/>
      <c r="AZW10" s="216"/>
      <c r="AZX10" s="216"/>
      <c r="AZY10" s="216"/>
      <c r="AZZ10" s="216"/>
      <c r="BAA10" s="216"/>
      <c r="BAB10" s="216"/>
      <c r="BAC10" s="216"/>
      <c r="BAD10" s="216"/>
      <c r="BAE10" s="216"/>
      <c r="BAF10" s="216"/>
      <c r="BAG10" s="216"/>
      <c r="BAH10" s="216"/>
      <c r="BAI10" s="216"/>
      <c r="BAJ10" s="216"/>
      <c r="BAK10" s="216"/>
      <c r="BAL10" s="216"/>
      <c r="BAM10" s="216"/>
      <c r="BAN10" s="216"/>
      <c r="BAO10" s="216"/>
      <c r="BAP10" s="216"/>
      <c r="BAQ10" s="216"/>
      <c r="BAR10" s="216"/>
      <c r="BAS10" s="216"/>
      <c r="BAT10" s="216"/>
      <c r="BAU10" s="216"/>
      <c r="BAV10" s="216"/>
      <c r="BAW10" s="216"/>
      <c r="BAX10" s="216"/>
      <c r="BAY10" s="216"/>
      <c r="BAZ10" s="216"/>
      <c r="BBA10" s="216"/>
      <c r="BBB10" s="216"/>
      <c r="BBC10" s="216"/>
      <c r="BBD10" s="216"/>
      <c r="BBE10" s="216"/>
      <c r="BBF10" s="216"/>
      <c r="BBG10" s="216"/>
      <c r="BBH10" s="216"/>
      <c r="BBI10" s="216"/>
      <c r="BBJ10" s="216"/>
      <c r="BBK10" s="216"/>
      <c r="BBL10" s="216"/>
      <c r="BBM10" s="216"/>
      <c r="BBN10" s="216"/>
      <c r="BBO10" s="216"/>
      <c r="BBP10" s="216"/>
      <c r="BBQ10" s="216"/>
      <c r="BBR10" s="216"/>
      <c r="BBS10" s="216"/>
      <c r="BBT10" s="216"/>
      <c r="BBU10" s="216"/>
      <c r="BBV10" s="216"/>
      <c r="BBW10" s="216"/>
      <c r="BBX10" s="216"/>
      <c r="BBY10" s="216"/>
      <c r="BBZ10" s="216"/>
      <c r="BCA10" s="216"/>
      <c r="BCB10" s="216"/>
      <c r="BCC10" s="216"/>
      <c r="BCD10" s="216"/>
      <c r="BCE10" s="216"/>
      <c r="BCF10" s="216"/>
      <c r="BCG10" s="216"/>
      <c r="BCH10" s="216"/>
      <c r="BCI10" s="216"/>
      <c r="BCJ10" s="216"/>
      <c r="BCK10" s="216"/>
      <c r="BCL10" s="216"/>
      <c r="BCM10" s="216"/>
      <c r="BCN10" s="216"/>
      <c r="BCO10" s="216"/>
      <c r="BCP10" s="216"/>
      <c r="BCQ10" s="216"/>
      <c r="BCR10" s="216"/>
      <c r="BCS10" s="216"/>
      <c r="BCT10" s="216"/>
      <c r="BCU10" s="216"/>
      <c r="BCV10" s="216"/>
      <c r="BCW10" s="216"/>
      <c r="BCX10" s="216"/>
      <c r="BCY10" s="216"/>
      <c r="BCZ10" s="216"/>
      <c r="BDA10" s="216"/>
      <c r="BDB10" s="216"/>
      <c r="BDC10" s="216"/>
      <c r="BDD10" s="216"/>
      <c r="BDE10" s="216"/>
      <c r="BDF10" s="216"/>
      <c r="BDG10" s="216"/>
      <c r="BDH10" s="216"/>
      <c r="BDI10" s="216"/>
      <c r="BDJ10" s="216"/>
      <c r="BDK10" s="216"/>
      <c r="BDL10" s="216"/>
      <c r="BDM10" s="216"/>
      <c r="BDN10" s="216"/>
      <c r="BDO10" s="216"/>
      <c r="BDP10" s="216"/>
      <c r="BDQ10" s="216"/>
      <c r="BDR10" s="216"/>
      <c r="BDS10" s="216"/>
      <c r="BDT10" s="216"/>
      <c r="BDU10" s="216"/>
      <c r="BDV10" s="216"/>
      <c r="BDW10" s="216"/>
      <c r="BDX10" s="216"/>
      <c r="BDY10" s="216"/>
      <c r="BDZ10" s="216"/>
      <c r="BEA10" s="216"/>
      <c r="BEB10" s="216"/>
      <c r="BEC10" s="216"/>
      <c r="BED10" s="216"/>
      <c r="BEE10" s="216"/>
      <c r="BEF10" s="216"/>
      <c r="BEG10" s="216"/>
      <c r="BEH10" s="216"/>
      <c r="BEI10" s="216"/>
      <c r="BEJ10" s="216"/>
      <c r="BEK10" s="216"/>
      <c r="BEL10" s="216"/>
      <c r="BEM10" s="216"/>
      <c r="BEN10" s="216"/>
      <c r="BEO10" s="216"/>
      <c r="BEP10" s="216"/>
      <c r="BEQ10" s="216"/>
      <c r="BER10" s="216"/>
      <c r="BES10" s="216"/>
      <c r="BET10" s="216"/>
      <c r="BEU10" s="216"/>
      <c r="BEV10" s="216"/>
      <c r="BEW10" s="216"/>
      <c r="BEX10" s="216"/>
      <c r="BEY10" s="216"/>
      <c r="BEZ10" s="216"/>
      <c r="BFA10" s="216"/>
      <c r="BFB10" s="216"/>
      <c r="BFC10" s="216"/>
      <c r="BFD10" s="216"/>
      <c r="BFE10" s="216"/>
      <c r="BFF10" s="216"/>
      <c r="BFG10" s="216"/>
      <c r="BFH10" s="216"/>
      <c r="BFI10" s="216"/>
      <c r="BFJ10" s="216"/>
      <c r="BFK10" s="216"/>
      <c r="BFL10" s="216"/>
      <c r="BFM10" s="216"/>
      <c r="BFN10" s="216"/>
      <c r="BFO10" s="216"/>
      <c r="BFP10" s="216"/>
      <c r="BFQ10" s="216"/>
      <c r="BFR10" s="216"/>
      <c r="BFS10" s="216"/>
      <c r="BFT10" s="216"/>
      <c r="BFU10" s="216"/>
      <c r="BFV10" s="216"/>
      <c r="BFW10" s="216"/>
      <c r="BFX10" s="216"/>
      <c r="BFY10" s="216"/>
      <c r="BFZ10" s="216"/>
      <c r="BGA10" s="216"/>
      <c r="BGB10" s="216"/>
      <c r="BGC10" s="216"/>
      <c r="BGD10" s="216"/>
      <c r="BGE10" s="216"/>
      <c r="BGF10" s="216"/>
      <c r="BGG10" s="216"/>
      <c r="BGH10" s="216"/>
      <c r="BGI10" s="216"/>
      <c r="BGJ10" s="216"/>
      <c r="BGK10" s="216"/>
      <c r="BGL10" s="216"/>
      <c r="BGM10" s="216"/>
      <c r="BGN10" s="216"/>
      <c r="BGO10" s="216"/>
      <c r="BGP10" s="216"/>
      <c r="BGQ10" s="216"/>
      <c r="BGR10" s="216"/>
      <c r="BGS10" s="216"/>
      <c r="BGT10" s="216"/>
      <c r="BGU10" s="216"/>
      <c r="BGV10" s="216"/>
      <c r="BGW10" s="216"/>
      <c r="BGX10" s="216"/>
      <c r="BGY10" s="216"/>
      <c r="BGZ10" s="216"/>
      <c r="BHA10" s="216"/>
      <c r="BHB10" s="216"/>
      <c r="BHC10" s="216"/>
      <c r="BHD10" s="216"/>
      <c r="BHE10" s="216"/>
      <c r="BHF10" s="216"/>
      <c r="BHG10" s="216"/>
      <c r="BHH10" s="216"/>
      <c r="BHI10" s="216"/>
      <c r="BHJ10" s="216"/>
      <c r="BHK10" s="216"/>
      <c r="BHL10" s="216"/>
      <c r="BHM10" s="216"/>
      <c r="BHN10" s="216"/>
      <c r="BHO10" s="216"/>
      <c r="BHP10" s="216"/>
      <c r="BHQ10" s="216"/>
      <c r="BHR10" s="216"/>
      <c r="BHS10" s="216"/>
      <c r="BHT10" s="216"/>
      <c r="BHU10" s="216"/>
      <c r="BHV10" s="216"/>
      <c r="BHW10" s="216"/>
      <c r="BHX10" s="216"/>
      <c r="BHY10" s="216"/>
      <c r="BHZ10" s="216"/>
      <c r="BIA10" s="216"/>
      <c r="BIB10" s="216"/>
      <c r="BIC10" s="216"/>
      <c r="BID10" s="216"/>
      <c r="BIE10" s="216"/>
      <c r="BIF10" s="216"/>
      <c r="BIG10" s="216"/>
      <c r="BIH10" s="216"/>
      <c r="BII10" s="216"/>
      <c r="BIJ10" s="216"/>
      <c r="BIK10" s="216"/>
      <c r="BIL10" s="216"/>
      <c r="BIM10" s="216"/>
      <c r="BIN10" s="216"/>
      <c r="BIO10" s="216"/>
      <c r="BIP10" s="216"/>
      <c r="BIQ10" s="216"/>
      <c r="BIR10" s="216"/>
      <c r="BIS10" s="216"/>
      <c r="BIT10" s="216"/>
      <c r="BIU10" s="216"/>
      <c r="BIV10" s="216"/>
      <c r="BIW10" s="216"/>
      <c r="BIX10" s="216"/>
      <c r="BIY10" s="216"/>
      <c r="BIZ10" s="216"/>
      <c r="BJA10" s="216"/>
      <c r="BJB10" s="216"/>
      <c r="BJC10" s="216"/>
      <c r="BJD10" s="216"/>
      <c r="BJE10" s="216"/>
      <c r="BJF10" s="216"/>
      <c r="BJG10" s="216"/>
      <c r="BJH10" s="216"/>
      <c r="BJI10" s="216"/>
      <c r="BJJ10" s="216"/>
      <c r="BJK10" s="216"/>
      <c r="BJL10" s="216"/>
      <c r="BJM10" s="216"/>
      <c r="BJN10" s="216"/>
      <c r="BJO10" s="216"/>
      <c r="BJP10" s="216"/>
      <c r="BJQ10" s="216"/>
      <c r="BJR10" s="216"/>
      <c r="BJS10" s="216"/>
      <c r="BJT10" s="216"/>
      <c r="BJU10" s="216"/>
      <c r="BJV10" s="216"/>
      <c r="BJW10" s="216"/>
      <c r="BJX10" s="216"/>
      <c r="BJY10" s="216"/>
      <c r="BJZ10" s="216"/>
      <c r="BKA10" s="216"/>
      <c r="BKB10" s="216"/>
      <c r="BKC10" s="216"/>
      <c r="BKD10" s="216"/>
      <c r="BKE10" s="216"/>
      <c r="BKF10" s="216"/>
      <c r="BKG10" s="216"/>
      <c r="BKH10" s="216"/>
      <c r="BKI10" s="216"/>
      <c r="BKJ10" s="216"/>
      <c r="BKK10" s="216"/>
      <c r="BKL10" s="216"/>
      <c r="BKM10" s="216"/>
      <c r="BKN10" s="216"/>
      <c r="BKO10" s="216"/>
      <c r="BKP10" s="216"/>
      <c r="BKQ10" s="216"/>
      <c r="BKR10" s="216"/>
      <c r="BKS10" s="216"/>
      <c r="BKT10" s="216"/>
      <c r="BKU10" s="216"/>
      <c r="BKV10" s="216"/>
      <c r="BKW10" s="216"/>
      <c r="BKX10" s="216"/>
      <c r="BKY10" s="216"/>
      <c r="BKZ10" s="216"/>
      <c r="BLA10" s="216"/>
      <c r="BLB10" s="216"/>
      <c r="BLC10" s="216"/>
      <c r="BLD10" s="216"/>
      <c r="BLE10" s="216"/>
      <c r="BLF10" s="216"/>
      <c r="BLG10" s="216"/>
      <c r="BLH10" s="216"/>
      <c r="BLI10" s="216"/>
      <c r="BLJ10" s="216"/>
      <c r="BLK10" s="216"/>
      <c r="BLL10" s="216"/>
      <c r="BLM10" s="216"/>
      <c r="BLN10" s="216"/>
      <c r="BLO10" s="216"/>
      <c r="BLP10" s="216"/>
      <c r="BLQ10" s="216"/>
      <c r="BLR10" s="216"/>
      <c r="BLS10" s="216"/>
      <c r="BLT10" s="216"/>
      <c r="BLU10" s="216"/>
    </row>
    <row r="11" spans="1:1744" ht="20.100000000000001" customHeight="1" x14ac:dyDescent="0.25">
      <c r="B11" s="96"/>
      <c r="C11" s="230"/>
      <c r="D11" s="230"/>
      <c r="E11" s="230"/>
      <c r="F11" s="218" t="s">
        <v>86</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85</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20" t="s">
        <v>85</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t="s">
        <v>83</v>
      </c>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t="s">
        <v>83</v>
      </c>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220" t="s">
        <v>81</v>
      </c>
      <c r="KU11" s="220"/>
      <c r="KV11" s="220"/>
      <c r="KW11" s="220"/>
      <c r="KX11" s="220"/>
      <c r="KY11" s="220"/>
      <c r="KZ11" s="220"/>
      <c r="LA11" s="220"/>
      <c r="LB11" s="220"/>
      <c r="LC11" s="220"/>
      <c r="LD11" s="220"/>
      <c r="LE11" s="220"/>
      <c r="LF11" s="220"/>
      <c r="LG11" s="220"/>
      <c r="LH11" s="220"/>
      <c r="LI11" s="220"/>
      <c r="LJ11" s="220"/>
      <c r="LK11" s="220"/>
      <c r="LL11" s="220"/>
      <c r="LM11" s="220"/>
      <c r="LN11" s="220"/>
      <c r="LO11" s="220"/>
      <c r="LP11" s="220"/>
      <c r="LQ11" s="220"/>
      <c r="LR11" s="220"/>
      <c r="LS11" s="220"/>
      <c r="LT11" s="220"/>
      <c r="LU11" s="220"/>
      <c r="LV11" s="220"/>
      <c r="LW11" s="220"/>
      <c r="LX11" s="220"/>
      <c r="LY11" s="220"/>
      <c r="LZ11" s="220"/>
      <c r="MA11" s="220"/>
      <c r="MB11" s="220"/>
      <c r="MC11" s="220"/>
      <c r="MD11" s="220"/>
      <c r="ME11" s="220"/>
      <c r="MF11" s="220"/>
      <c r="MG11" s="220"/>
      <c r="MH11" s="220"/>
      <c r="MI11" s="220"/>
      <c r="MJ11" s="220"/>
      <c r="MK11" s="220"/>
      <c r="ML11" s="220"/>
      <c r="MM11" s="220"/>
      <c r="MN11" s="220"/>
      <c r="MO11" s="220"/>
      <c r="MP11" s="220"/>
      <c r="MQ11" s="220"/>
      <c r="MR11" s="220"/>
      <c r="MS11" s="220"/>
      <c r="MT11" s="220"/>
      <c r="MU11" s="220"/>
      <c r="MV11" s="220"/>
      <c r="MW11" s="220"/>
      <c r="MX11" s="220"/>
      <c r="MY11" s="220"/>
      <c r="MZ11" s="220"/>
      <c r="NA11" s="220"/>
      <c r="NB11" s="220" t="s">
        <v>78</v>
      </c>
      <c r="NC11" s="220"/>
      <c r="ND11" s="220"/>
      <c r="NE11" s="220"/>
      <c r="NF11" s="220"/>
      <c r="NG11" s="220"/>
      <c r="NH11" s="220"/>
      <c r="NI11" s="220"/>
      <c r="NJ11" s="220"/>
      <c r="NK11" s="220"/>
      <c r="NL11" s="220"/>
      <c r="NM11" s="220"/>
      <c r="NN11" s="220"/>
      <c r="NO11" s="220"/>
      <c r="NP11" s="220"/>
      <c r="NQ11" s="220"/>
      <c r="NR11" s="220"/>
      <c r="NS11" s="220"/>
      <c r="NT11" s="220"/>
      <c r="NU11" s="220"/>
      <c r="NV11" s="220"/>
      <c r="NW11" s="220"/>
      <c r="NX11" s="220"/>
      <c r="NY11" s="220"/>
      <c r="NZ11" s="220"/>
      <c r="OA11" s="220"/>
      <c r="OB11" s="220"/>
      <c r="OC11" s="220"/>
      <c r="OD11" s="220"/>
      <c r="OE11" s="220"/>
      <c r="OF11" s="220"/>
      <c r="OG11" s="220"/>
      <c r="OH11" s="220"/>
      <c r="OI11" s="220"/>
      <c r="OJ11" s="220"/>
      <c r="OK11" s="220"/>
      <c r="OL11" s="220"/>
      <c r="OM11" s="220"/>
      <c r="ON11" s="220"/>
      <c r="OO11" s="220"/>
      <c r="OP11" s="220"/>
      <c r="OQ11" s="220"/>
      <c r="OR11" s="220"/>
      <c r="OS11" s="220"/>
      <c r="OT11" s="220"/>
      <c r="OU11" s="220"/>
      <c r="OV11" s="220"/>
      <c r="OW11" s="220"/>
      <c r="OX11" s="220"/>
      <c r="OY11" s="220"/>
      <c r="OZ11" s="220"/>
      <c r="PA11" s="220"/>
      <c r="PB11" s="220"/>
      <c r="PC11" s="220"/>
      <c r="PD11" s="220"/>
      <c r="PE11" s="220"/>
      <c r="PF11" s="220"/>
      <c r="PG11" s="220"/>
      <c r="PH11" s="220"/>
      <c r="PI11" s="220"/>
      <c r="PJ11" s="220" t="s">
        <v>78</v>
      </c>
      <c r="PK11" s="220"/>
      <c r="PL11" s="220"/>
      <c r="PM11" s="220"/>
      <c r="PN11" s="220"/>
      <c r="PO11" s="220"/>
      <c r="PP11" s="220"/>
      <c r="PQ11" s="220"/>
      <c r="PR11" s="220"/>
      <c r="PS11" s="220"/>
      <c r="PT11" s="220"/>
      <c r="PU11" s="220"/>
      <c r="PV11" s="220"/>
      <c r="PW11" s="220"/>
      <c r="PX11" s="220"/>
      <c r="PY11" s="220"/>
      <c r="PZ11" s="220"/>
      <c r="QA11" s="220"/>
      <c r="QB11" s="220"/>
      <c r="QC11" s="220"/>
      <c r="QD11" s="220"/>
      <c r="QE11" s="220"/>
      <c r="QF11" s="220"/>
      <c r="QG11" s="220"/>
      <c r="QH11" s="220"/>
      <c r="QI11" s="220"/>
      <c r="QJ11" s="220"/>
      <c r="QK11" s="220"/>
      <c r="QL11" s="220"/>
      <c r="QM11" s="220"/>
      <c r="QN11" s="220"/>
      <c r="QO11" s="220"/>
      <c r="QP11" s="220"/>
      <c r="QQ11" s="220"/>
      <c r="QR11" s="220"/>
      <c r="QS11" s="220"/>
      <c r="QT11" s="220"/>
      <c r="QU11" s="220"/>
      <c r="QV11" s="220"/>
      <c r="QW11" s="220"/>
      <c r="QX11" s="220"/>
      <c r="QY11" s="220"/>
      <c r="QZ11" s="220"/>
      <c r="RA11" s="220"/>
      <c r="RB11" s="220"/>
      <c r="RC11" s="220"/>
      <c r="RD11" s="220"/>
      <c r="RE11" s="220"/>
      <c r="RF11" s="220"/>
      <c r="RG11" s="220"/>
      <c r="RH11" s="220"/>
      <c r="RI11" s="220"/>
      <c r="RJ11" s="220"/>
      <c r="RK11" s="220"/>
      <c r="RL11" s="220"/>
      <c r="RM11" s="220"/>
      <c r="RN11" s="220"/>
      <c r="RO11" s="220"/>
      <c r="RP11" s="220"/>
      <c r="RQ11" s="220"/>
      <c r="RR11" s="220" t="s">
        <v>75</v>
      </c>
      <c r="RS11" s="220"/>
      <c r="RT11" s="220"/>
      <c r="RU11" s="220"/>
      <c r="RV11" s="220"/>
      <c r="RW11" s="220"/>
      <c r="RX11" s="220"/>
      <c r="RY11" s="220"/>
      <c r="RZ11" s="220"/>
      <c r="SA11" s="220"/>
      <c r="SB11" s="220"/>
      <c r="SC11" s="220"/>
      <c r="SD11" s="220"/>
      <c r="SE11" s="220"/>
      <c r="SF11" s="220"/>
      <c r="SG11" s="220"/>
      <c r="SH11" s="220"/>
      <c r="SI11" s="220"/>
      <c r="SJ11" s="220"/>
      <c r="SK11" s="220"/>
      <c r="SL11" s="220"/>
      <c r="SM11" s="220"/>
      <c r="SN11" s="220"/>
      <c r="SO11" s="220"/>
      <c r="SP11" s="220"/>
      <c r="SQ11" s="220"/>
      <c r="SR11" s="220"/>
      <c r="SS11" s="220"/>
      <c r="ST11" s="220"/>
      <c r="SU11" s="220"/>
      <c r="SV11" s="220"/>
      <c r="SW11" s="220"/>
      <c r="SX11" s="220"/>
      <c r="SY11" s="220"/>
      <c r="SZ11" s="220"/>
      <c r="TA11" s="220"/>
      <c r="TB11" s="220"/>
      <c r="TC11" s="220"/>
      <c r="TD11" s="220"/>
      <c r="TE11" s="220"/>
      <c r="TF11" s="220"/>
      <c r="TG11" s="220"/>
      <c r="TH11" s="220"/>
      <c r="TI11" s="220"/>
      <c r="TJ11" s="220"/>
      <c r="TK11" s="220"/>
      <c r="TL11" s="220"/>
      <c r="TM11" s="220"/>
      <c r="TN11" s="220"/>
      <c r="TO11" s="220"/>
      <c r="TP11" s="220"/>
      <c r="TQ11" s="220"/>
      <c r="TR11" s="220"/>
      <c r="TS11" s="220"/>
      <c r="TT11" s="220"/>
      <c r="TU11" s="220"/>
      <c r="TV11" s="220"/>
      <c r="TW11" s="220"/>
      <c r="TX11" s="220"/>
      <c r="TY11" s="220"/>
      <c r="TZ11" s="220" t="s">
        <v>75</v>
      </c>
      <c r="UA11" s="220"/>
      <c r="UB11" s="220"/>
      <c r="UC11" s="220"/>
      <c r="UD11" s="220"/>
      <c r="UE11" s="220"/>
      <c r="UF11" s="220"/>
      <c r="UG11" s="220"/>
      <c r="UH11" s="220"/>
      <c r="UI11" s="220"/>
      <c r="UJ11" s="220"/>
      <c r="UK11" s="220"/>
      <c r="UL11" s="220"/>
      <c r="UM11" s="220"/>
      <c r="UN11" s="220"/>
      <c r="UO11" s="220"/>
      <c r="UP11" s="220"/>
      <c r="UQ11" s="220"/>
      <c r="UR11" s="220"/>
      <c r="US11" s="220"/>
      <c r="UT11" s="220"/>
      <c r="UU11" s="220"/>
      <c r="UV11" s="220"/>
      <c r="UW11" s="220"/>
      <c r="UX11" s="220"/>
      <c r="UY11" s="220"/>
      <c r="UZ11" s="220"/>
      <c r="VA11" s="220"/>
      <c r="VB11" s="220"/>
      <c r="VC11" s="220"/>
      <c r="VD11" s="220"/>
      <c r="VE11" s="220"/>
      <c r="VF11" s="220"/>
      <c r="VG11" s="220"/>
      <c r="VH11" s="220"/>
      <c r="VI11" s="220"/>
      <c r="VJ11" s="220"/>
      <c r="VK11" s="220"/>
      <c r="VL11" s="220"/>
      <c r="VM11" s="220"/>
      <c r="VN11" s="220"/>
      <c r="VO11" s="220"/>
      <c r="VP11" s="220"/>
      <c r="VQ11" s="220"/>
      <c r="VR11" s="220"/>
      <c r="VS11" s="220"/>
      <c r="VT11" s="220"/>
      <c r="VU11" s="220"/>
      <c r="VV11" s="220"/>
      <c r="VW11" s="220"/>
      <c r="VX11" s="220"/>
      <c r="VY11" s="220"/>
      <c r="VZ11" s="220"/>
      <c r="WA11" s="220"/>
      <c r="WB11" s="220"/>
      <c r="WC11" s="220"/>
      <c r="WD11" s="220"/>
      <c r="WE11" s="220"/>
      <c r="WF11" s="220"/>
      <c r="WG11" s="220"/>
      <c r="WH11" s="220" t="s">
        <v>72</v>
      </c>
      <c r="WI11" s="220"/>
      <c r="WJ11" s="220"/>
      <c r="WK11" s="220"/>
      <c r="WL11" s="220"/>
      <c r="WM11" s="220"/>
      <c r="WN11" s="220"/>
      <c r="WO11" s="220"/>
      <c r="WP11" s="220"/>
      <c r="WQ11" s="220"/>
      <c r="WR11" s="220"/>
      <c r="WS11" s="220"/>
      <c r="WT11" s="220"/>
      <c r="WU11" s="220"/>
      <c r="WV11" s="220"/>
      <c r="WW11" s="220"/>
      <c r="WX11" s="220"/>
      <c r="WY11" s="220"/>
      <c r="WZ11" s="220"/>
      <c r="XA11" s="220"/>
      <c r="XB11" s="220"/>
      <c r="XC11" s="220"/>
      <c r="XD11" s="220"/>
      <c r="XE11" s="220"/>
      <c r="XF11" s="220"/>
      <c r="XG11" s="220"/>
      <c r="XH11" s="220"/>
      <c r="XI11" s="220"/>
      <c r="XJ11" s="220"/>
      <c r="XK11" s="220"/>
      <c r="XL11" s="220"/>
      <c r="XM11" s="220"/>
      <c r="XN11" s="220"/>
      <c r="XO11" s="220"/>
      <c r="XP11" s="220"/>
      <c r="XQ11" s="220"/>
      <c r="XR11" s="220"/>
      <c r="XS11" s="220"/>
      <c r="XT11" s="220"/>
      <c r="XU11" s="220"/>
      <c r="XV11" s="220"/>
      <c r="XW11" s="220"/>
      <c r="XX11" s="220"/>
      <c r="XY11" s="220"/>
      <c r="XZ11" s="220"/>
      <c r="YA11" s="220"/>
      <c r="YB11" s="220"/>
      <c r="YC11" s="220"/>
      <c r="YD11" s="220"/>
      <c r="YE11" s="220"/>
      <c r="YF11" s="220"/>
      <c r="YG11" s="220"/>
      <c r="YH11" s="220"/>
      <c r="YI11" s="220"/>
      <c r="YJ11" s="220"/>
      <c r="YK11" s="220"/>
      <c r="YL11" s="220"/>
      <c r="YM11" s="220"/>
      <c r="YN11" s="220"/>
      <c r="YO11" s="220"/>
      <c r="YP11" s="220" t="s">
        <v>72</v>
      </c>
      <c r="YQ11" s="220"/>
      <c r="YR11" s="220"/>
      <c r="YS11" s="220"/>
      <c r="YT11" s="220"/>
      <c r="YU11" s="220"/>
      <c r="YV11" s="220"/>
      <c r="YW11" s="220"/>
      <c r="YX11" s="220"/>
      <c r="YY11" s="220"/>
      <c r="YZ11" s="220"/>
      <c r="ZA11" s="220"/>
      <c r="ZB11" s="220"/>
      <c r="ZC11" s="220"/>
      <c r="ZD11" s="220"/>
      <c r="ZE11" s="220"/>
      <c r="ZF11" s="220"/>
      <c r="ZG11" s="220"/>
      <c r="ZH11" s="220"/>
      <c r="ZI11" s="220"/>
      <c r="ZJ11" s="220"/>
      <c r="ZK11" s="220"/>
      <c r="ZL11" s="220"/>
      <c r="ZM11" s="220"/>
      <c r="ZN11" s="220"/>
      <c r="ZO11" s="220"/>
      <c r="ZP11" s="220"/>
      <c r="ZQ11" s="220"/>
      <c r="ZR11" s="220"/>
      <c r="ZS11" s="220"/>
      <c r="ZT11" s="220"/>
      <c r="ZU11" s="220"/>
      <c r="ZV11" s="220"/>
      <c r="ZW11" s="220"/>
      <c r="ZX11" s="220"/>
      <c r="ZY11" s="220"/>
      <c r="ZZ11" s="220"/>
      <c r="AAA11" s="220"/>
      <c r="AAB11" s="220"/>
      <c r="AAC11" s="220"/>
      <c r="AAD11" s="220"/>
      <c r="AAE11" s="220"/>
      <c r="AAF11" s="220"/>
      <c r="AAG11" s="220"/>
      <c r="AAH11" s="220"/>
      <c r="AAI11" s="220"/>
      <c r="AAJ11" s="220"/>
      <c r="AAK11" s="220"/>
      <c r="AAL11" s="220"/>
      <c r="AAM11" s="220"/>
      <c r="AAN11" s="220"/>
      <c r="AAO11" s="220"/>
      <c r="AAP11" s="220"/>
      <c r="AAQ11" s="220"/>
      <c r="AAR11" s="220"/>
      <c r="AAS11" s="220"/>
      <c r="AAT11" s="220"/>
      <c r="AAU11" s="220"/>
      <c r="AAV11" s="220"/>
      <c r="AAW11" s="220"/>
      <c r="AAX11" s="220" t="s">
        <v>70</v>
      </c>
      <c r="AAY11" s="220"/>
      <c r="AAZ11" s="220"/>
      <c r="ABA11" s="220"/>
      <c r="ABB11" s="220"/>
      <c r="ABC11" s="220"/>
      <c r="ABD11" s="220"/>
      <c r="ABE11" s="220"/>
      <c r="ABF11" s="220"/>
      <c r="ABG11" s="220"/>
      <c r="ABH11" s="220"/>
      <c r="ABI11" s="220"/>
      <c r="ABJ11" s="220"/>
      <c r="ABK11" s="220"/>
      <c r="ABL11" s="220"/>
      <c r="ABM11" s="220"/>
      <c r="ABN11" s="220"/>
      <c r="ABO11" s="220"/>
      <c r="ABP11" s="220"/>
      <c r="ABQ11" s="220"/>
      <c r="ABR11" s="220"/>
      <c r="ABS11" s="220"/>
      <c r="ABT11" s="220"/>
      <c r="ABU11" s="220"/>
      <c r="ABV11" s="220"/>
      <c r="ABW11" s="220"/>
      <c r="ABX11" s="220"/>
      <c r="ABY11" s="220"/>
      <c r="ABZ11" s="220"/>
      <c r="ACA11" s="220"/>
      <c r="ACB11" s="220"/>
      <c r="ACC11" s="220"/>
      <c r="ACD11" s="220"/>
      <c r="ACE11" s="220"/>
      <c r="ACF11" s="220"/>
      <c r="ACG11" s="220"/>
      <c r="ACH11" s="220"/>
      <c r="ACI11" s="220"/>
      <c r="ACJ11" s="220"/>
      <c r="ACK11" s="220"/>
      <c r="ACL11" s="220"/>
      <c r="ACM11" s="220"/>
      <c r="ACN11" s="220"/>
      <c r="ACO11" s="220"/>
      <c r="ACP11" s="220"/>
      <c r="ACQ11" s="220"/>
      <c r="ACR11" s="220"/>
      <c r="ACS11" s="220"/>
      <c r="ACT11" s="220"/>
      <c r="ACU11" s="220"/>
      <c r="ACV11" s="220"/>
      <c r="ACW11" s="220"/>
      <c r="ACX11" s="220"/>
      <c r="ACY11" s="220"/>
      <c r="ACZ11" s="220"/>
      <c r="ADA11" s="220"/>
      <c r="ADB11" s="220"/>
      <c r="ADC11" s="220"/>
      <c r="ADD11" s="220"/>
      <c r="ADE11" s="220"/>
      <c r="ADF11" s="220" t="s">
        <v>67</v>
      </c>
      <c r="ADG11" s="220"/>
      <c r="ADH11" s="220"/>
      <c r="ADI11" s="220"/>
      <c r="ADJ11" s="220"/>
      <c r="ADK11" s="220"/>
      <c r="ADL11" s="220"/>
      <c r="ADM11" s="220"/>
      <c r="ADN11" s="220"/>
      <c r="ADO11" s="220"/>
      <c r="ADP11" s="220"/>
      <c r="ADQ11" s="220"/>
      <c r="ADR11" s="220"/>
      <c r="ADS11" s="220"/>
      <c r="ADT11" s="220"/>
      <c r="ADU11" s="220"/>
      <c r="ADV11" s="220"/>
      <c r="ADW11" s="220"/>
      <c r="ADX11" s="220"/>
      <c r="ADY11" s="220"/>
      <c r="ADZ11" s="220"/>
      <c r="AEA11" s="220"/>
      <c r="AEB11" s="220"/>
      <c r="AEC11" s="220"/>
      <c r="AED11" s="220"/>
      <c r="AEE11" s="220"/>
      <c r="AEF11" s="220"/>
      <c r="AEG11" s="220"/>
      <c r="AEH11" s="220"/>
      <c r="AEI11" s="220"/>
      <c r="AEJ11" s="220"/>
      <c r="AEK11" s="220"/>
      <c r="AEL11" s="220"/>
      <c r="AEM11" s="220"/>
      <c r="AEN11" s="220"/>
      <c r="AEO11" s="220"/>
      <c r="AEP11" s="220"/>
      <c r="AEQ11" s="220"/>
      <c r="AER11" s="220"/>
      <c r="AES11" s="220"/>
      <c r="AET11" s="220"/>
      <c r="AEU11" s="220"/>
      <c r="AEV11" s="220"/>
      <c r="AEW11" s="220"/>
      <c r="AEX11" s="220"/>
      <c r="AEY11" s="220"/>
      <c r="AEZ11" s="220"/>
      <c r="AFA11" s="220"/>
      <c r="AFB11" s="220"/>
      <c r="AFC11" s="220"/>
      <c r="AFD11" s="220"/>
      <c r="AFE11" s="220"/>
      <c r="AFF11" s="220"/>
      <c r="AFG11" s="220"/>
      <c r="AFH11" s="220"/>
      <c r="AFI11" s="220"/>
      <c r="AFJ11" s="220"/>
      <c r="AFK11" s="220"/>
      <c r="AFL11" s="220"/>
      <c r="AFM11" s="220"/>
      <c r="AFN11" s="220" t="s">
        <v>67</v>
      </c>
      <c r="AFO11" s="220"/>
      <c r="AFP11" s="220"/>
      <c r="AFQ11" s="220"/>
      <c r="AFR11" s="220"/>
      <c r="AFS11" s="220"/>
      <c r="AFT11" s="220"/>
      <c r="AFU11" s="220"/>
      <c r="AFV11" s="220"/>
      <c r="AFW11" s="220"/>
      <c r="AFX11" s="220"/>
      <c r="AFY11" s="220"/>
      <c r="AFZ11" s="220"/>
      <c r="AGA11" s="220"/>
      <c r="AGB11" s="220"/>
      <c r="AGC11" s="220"/>
      <c r="AGD11" s="220"/>
      <c r="AGE11" s="220"/>
      <c r="AGF11" s="220"/>
      <c r="AGG11" s="220"/>
      <c r="AGH11" s="220"/>
      <c r="AGI11" s="220"/>
      <c r="AGJ11" s="220"/>
      <c r="AGK11" s="220"/>
      <c r="AGL11" s="220"/>
      <c r="AGM11" s="220"/>
      <c r="AGN11" s="220"/>
      <c r="AGO11" s="220"/>
      <c r="AGP11" s="220"/>
      <c r="AGQ11" s="220"/>
      <c r="AGR11" s="220"/>
      <c r="AGS11" s="220"/>
      <c r="AGT11" s="220"/>
      <c r="AGU11" s="220"/>
      <c r="AGV11" s="220"/>
      <c r="AGW11" s="220"/>
      <c r="AGX11" s="220"/>
      <c r="AGY11" s="220"/>
      <c r="AGZ11" s="220"/>
      <c r="AHA11" s="220"/>
      <c r="AHB11" s="220"/>
      <c r="AHC11" s="220"/>
      <c r="AHD11" s="220"/>
      <c r="AHE11" s="220"/>
      <c r="AHF11" s="220"/>
      <c r="AHG11" s="220"/>
      <c r="AHH11" s="220"/>
      <c r="AHI11" s="220"/>
      <c r="AHJ11" s="220"/>
      <c r="AHK11" s="220"/>
      <c r="AHL11" s="220"/>
      <c r="AHM11" s="220"/>
      <c r="AHN11" s="220"/>
      <c r="AHO11" s="220"/>
      <c r="AHP11" s="220"/>
      <c r="AHQ11" s="220"/>
      <c r="AHR11" s="220"/>
      <c r="AHS11" s="220"/>
      <c r="AHT11" s="220"/>
      <c r="AHU11" s="220"/>
      <c r="AHV11" s="220" t="s">
        <v>61</v>
      </c>
      <c r="AHW11" s="220"/>
      <c r="AHX11" s="220"/>
      <c r="AHY11" s="220"/>
      <c r="AHZ11" s="220"/>
      <c r="AIA11" s="220"/>
      <c r="AIB11" s="220"/>
      <c r="AIC11" s="220"/>
      <c r="AID11" s="220"/>
      <c r="AIE11" s="220"/>
      <c r="AIF11" s="220"/>
      <c r="AIG11" s="220"/>
      <c r="AIH11" s="220"/>
      <c r="AII11" s="220"/>
      <c r="AIJ11" s="220"/>
      <c r="AIK11" s="220"/>
      <c r="AIL11" s="220"/>
      <c r="AIM11" s="220"/>
      <c r="AIN11" s="220"/>
      <c r="AIO11" s="220"/>
      <c r="AIP11" s="220"/>
      <c r="AIQ11" s="220"/>
      <c r="AIR11" s="220"/>
      <c r="AIS11" s="220"/>
      <c r="AIT11" s="220"/>
      <c r="AIU11" s="220"/>
      <c r="AIV11" s="220"/>
      <c r="AIW11" s="220"/>
      <c r="AIX11" s="220"/>
      <c r="AIY11" s="220"/>
      <c r="AIZ11" s="220"/>
      <c r="AJA11" s="220"/>
      <c r="AJB11" s="220"/>
      <c r="AJC11" s="220"/>
      <c r="AJD11" s="220"/>
      <c r="AJE11" s="220"/>
      <c r="AJF11" s="220"/>
      <c r="AJG11" s="220"/>
      <c r="AJH11" s="220"/>
      <c r="AJI11" s="220"/>
      <c r="AJJ11" s="220"/>
      <c r="AJK11" s="220"/>
      <c r="AJL11" s="220"/>
      <c r="AJM11" s="220"/>
      <c r="AJN11" s="220"/>
      <c r="AJO11" s="220"/>
      <c r="AJP11" s="220"/>
      <c r="AJQ11" s="220"/>
      <c r="AJR11" s="220"/>
      <c r="AJS11" s="220"/>
      <c r="AJT11" s="220"/>
      <c r="AJU11" s="220"/>
      <c r="AJV11" s="220"/>
      <c r="AJW11" s="220"/>
      <c r="AJX11" s="220"/>
      <c r="AJY11" s="220"/>
      <c r="AJZ11" s="220"/>
      <c r="AKA11" s="220"/>
      <c r="AKB11" s="220"/>
      <c r="AKC11" s="220"/>
      <c r="AKD11" s="220" t="s">
        <v>58</v>
      </c>
      <c r="AKE11" s="220"/>
      <c r="AKF11" s="220"/>
      <c r="AKG11" s="220"/>
      <c r="AKH11" s="220"/>
      <c r="AKI11" s="220"/>
      <c r="AKJ11" s="220"/>
      <c r="AKK11" s="220"/>
      <c r="AKL11" s="220"/>
      <c r="AKM11" s="220"/>
      <c r="AKN11" s="220"/>
      <c r="AKO11" s="220"/>
      <c r="AKP11" s="220"/>
      <c r="AKQ11" s="220"/>
      <c r="AKR11" s="220"/>
      <c r="AKS11" s="220"/>
      <c r="AKT11" s="220"/>
      <c r="AKU11" s="220"/>
      <c r="AKV11" s="220"/>
      <c r="AKW11" s="220"/>
      <c r="AKX11" s="220"/>
      <c r="AKY11" s="220"/>
      <c r="AKZ11" s="220"/>
      <c r="ALA11" s="220"/>
      <c r="ALB11" s="220"/>
      <c r="ALC11" s="220"/>
      <c r="ALD11" s="220"/>
      <c r="ALE11" s="220"/>
      <c r="ALF11" s="220"/>
      <c r="ALG11" s="220"/>
      <c r="ALH11" s="220"/>
      <c r="ALI11" s="220"/>
      <c r="ALJ11" s="220"/>
      <c r="ALK11" s="220"/>
      <c r="ALL11" s="220"/>
      <c r="ALM11" s="220"/>
      <c r="ALN11" s="220"/>
      <c r="ALO11" s="220"/>
      <c r="ALP11" s="220"/>
      <c r="ALQ11" s="220"/>
      <c r="ALR11" s="220"/>
      <c r="ALS11" s="220"/>
      <c r="ALT11" s="220"/>
      <c r="ALU11" s="220"/>
      <c r="ALV11" s="220"/>
      <c r="ALW11" s="220"/>
      <c r="ALX11" s="220"/>
      <c r="ALY11" s="220"/>
      <c r="ALZ11" s="220"/>
      <c r="AMA11" s="220"/>
      <c r="AMB11" s="220"/>
      <c r="AMC11" s="220"/>
      <c r="AMD11" s="220"/>
      <c r="AME11" s="220"/>
      <c r="AMF11" s="220"/>
      <c r="AMG11" s="220"/>
      <c r="AMH11" s="220"/>
      <c r="AMI11" s="220"/>
      <c r="AMJ11" s="220"/>
      <c r="AMK11" s="220"/>
      <c r="AML11" s="220" t="s">
        <v>58</v>
      </c>
      <c r="AMM11" s="220"/>
      <c r="AMN11" s="220"/>
      <c r="AMO11" s="220"/>
      <c r="AMP11" s="220"/>
      <c r="AMQ11" s="220"/>
      <c r="AMR11" s="220"/>
      <c r="AMS11" s="220"/>
      <c r="AMT11" s="220"/>
      <c r="AMU11" s="220"/>
      <c r="AMV11" s="220"/>
      <c r="AMW11" s="220"/>
      <c r="AMX11" s="220"/>
      <c r="AMY11" s="220"/>
      <c r="AMZ11" s="220"/>
      <c r="ANA11" s="220"/>
      <c r="ANB11" s="220"/>
      <c r="ANC11" s="220"/>
      <c r="AND11" s="220"/>
      <c r="ANE11" s="220"/>
      <c r="ANF11" s="220"/>
      <c r="ANG11" s="220"/>
      <c r="ANH11" s="220"/>
      <c r="ANI11" s="220"/>
      <c r="ANJ11" s="220"/>
      <c r="ANK11" s="220"/>
      <c r="ANL11" s="220"/>
      <c r="ANM11" s="220"/>
      <c r="ANN11" s="220"/>
      <c r="ANO11" s="220"/>
      <c r="ANP11" s="220"/>
      <c r="ANQ11" s="220"/>
      <c r="ANR11" s="220"/>
      <c r="ANS11" s="220"/>
      <c r="ANT11" s="220"/>
      <c r="ANU11" s="220"/>
      <c r="ANV11" s="220"/>
      <c r="ANW11" s="220"/>
      <c r="ANX11" s="220"/>
      <c r="ANY11" s="220"/>
      <c r="ANZ11" s="220"/>
      <c r="AOA11" s="220"/>
      <c r="AOB11" s="220"/>
      <c r="AOC11" s="220"/>
      <c r="AOD11" s="220"/>
      <c r="AOE11" s="220"/>
      <c r="AOF11" s="220"/>
      <c r="AOG11" s="220"/>
      <c r="AOH11" s="220"/>
      <c r="AOI11" s="220"/>
      <c r="AOJ11" s="220"/>
      <c r="AOK11" s="220"/>
      <c r="AOL11" s="220"/>
      <c r="AOM11" s="220"/>
      <c r="AON11" s="220"/>
      <c r="AOO11" s="220"/>
      <c r="AOP11" s="220"/>
      <c r="AOQ11" s="220"/>
      <c r="AOR11" s="220"/>
      <c r="AOS11" s="220"/>
      <c r="AOT11" s="220" t="s">
        <v>55</v>
      </c>
      <c r="AOU11" s="220"/>
      <c r="AOV11" s="220"/>
      <c r="AOW11" s="220"/>
      <c r="AOX11" s="220"/>
      <c r="AOY11" s="220"/>
      <c r="AOZ11" s="220"/>
      <c r="APA11" s="220"/>
      <c r="APB11" s="220"/>
      <c r="APC11" s="220"/>
      <c r="APD11" s="220"/>
      <c r="APE11" s="220"/>
      <c r="APF11" s="220"/>
      <c r="APG11" s="220"/>
      <c r="APH11" s="220"/>
      <c r="API11" s="220"/>
      <c r="APJ11" s="220"/>
      <c r="APK11" s="220"/>
      <c r="APL11" s="220"/>
      <c r="APM11" s="220"/>
      <c r="APN11" s="220"/>
      <c r="APO11" s="220"/>
      <c r="APP11" s="220"/>
      <c r="APQ11" s="220"/>
      <c r="APR11" s="220"/>
      <c r="APS11" s="220"/>
      <c r="APT11" s="220"/>
      <c r="APU11" s="220"/>
      <c r="APV11" s="220"/>
      <c r="APW11" s="220"/>
      <c r="APX11" s="220"/>
      <c r="APY11" s="220"/>
      <c r="APZ11" s="220"/>
      <c r="AQA11" s="220"/>
      <c r="AQB11" s="220"/>
      <c r="AQC11" s="220"/>
      <c r="AQD11" s="220"/>
      <c r="AQE11" s="220"/>
      <c r="AQF11" s="220"/>
      <c r="AQG11" s="220"/>
      <c r="AQH11" s="220"/>
      <c r="AQI11" s="220"/>
      <c r="AQJ11" s="220"/>
      <c r="AQK11" s="220"/>
      <c r="AQL11" s="220"/>
      <c r="AQM11" s="220"/>
      <c r="AQN11" s="220"/>
      <c r="AQO11" s="220"/>
      <c r="AQP11" s="220"/>
      <c r="AQQ11" s="220"/>
      <c r="AQR11" s="220"/>
      <c r="AQS11" s="220"/>
      <c r="AQT11" s="220"/>
      <c r="AQU11" s="220"/>
      <c r="AQV11" s="220"/>
      <c r="AQW11" s="220"/>
      <c r="AQX11" s="220"/>
      <c r="AQY11" s="220"/>
      <c r="AQZ11" s="220"/>
      <c r="ARA11" s="220"/>
      <c r="ARB11" s="220" t="s">
        <v>55</v>
      </c>
      <c r="ARC11" s="220"/>
      <c r="ARD11" s="220"/>
      <c r="ARE11" s="220"/>
      <c r="ARF11" s="220"/>
      <c r="ARG11" s="220"/>
      <c r="ARH11" s="220"/>
      <c r="ARI11" s="220"/>
      <c r="ARJ11" s="220"/>
      <c r="ARK11" s="220"/>
      <c r="ARL11" s="220"/>
      <c r="ARM11" s="220"/>
      <c r="ARN11" s="220"/>
      <c r="ARO11" s="220"/>
      <c r="ARP11" s="220"/>
      <c r="ARQ11" s="220"/>
      <c r="ARR11" s="220"/>
      <c r="ARS11" s="220"/>
      <c r="ART11" s="220"/>
      <c r="ARU11" s="220"/>
      <c r="ARV11" s="220"/>
      <c r="ARW11" s="220"/>
      <c r="ARX11" s="220"/>
      <c r="ARY11" s="220"/>
      <c r="ARZ11" s="220"/>
      <c r="ASA11" s="220"/>
      <c r="ASB11" s="220"/>
      <c r="ASC11" s="220"/>
      <c r="ASD11" s="220"/>
      <c r="ASE11" s="220"/>
      <c r="ASF11" s="220"/>
      <c r="ASG11" s="220"/>
      <c r="ASH11" s="220"/>
      <c r="ASI11" s="220"/>
      <c r="ASJ11" s="220"/>
      <c r="ASK11" s="220"/>
      <c r="ASL11" s="220"/>
      <c r="ASM11" s="220"/>
      <c r="ASN11" s="220"/>
      <c r="ASO11" s="220"/>
      <c r="ASP11" s="220"/>
      <c r="ASQ11" s="220"/>
      <c r="ASR11" s="220"/>
      <c r="ASS11" s="220"/>
      <c r="AST11" s="220"/>
      <c r="ASU11" s="220"/>
      <c r="ASV11" s="220"/>
      <c r="ASW11" s="220"/>
      <c r="ASX11" s="220"/>
      <c r="ASY11" s="220"/>
      <c r="ASZ11" s="220"/>
      <c r="ATA11" s="220"/>
      <c r="ATB11" s="220"/>
      <c r="ATC11" s="220"/>
      <c r="ATD11" s="220"/>
      <c r="ATE11" s="220"/>
      <c r="ATF11" s="220"/>
      <c r="ATG11" s="220"/>
      <c r="ATH11" s="220"/>
      <c r="ATI11" s="220"/>
      <c r="ATJ11" s="220" t="s">
        <v>52</v>
      </c>
      <c r="ATK11" s="220"/>
      <c r="ATL11" s="220"/>
      <c r="ATM11" s="220"/>
      <c r="ATN11" s="220"/>
      <c r="ATO11" s="220"/>
      <c r="ATP11" s="220"/>
      <c r="ATQ11" s="220"/>
      <c r="ATR11" s="220"/>
      <c r="ATS11" s="220"/>
      <c r="ATT11" s="220"/>
      <c r="ATU11" s="220"/>
      <c r="ATV11" s="220"/>
      <c r="ATW11" s="220"/>
      <c r="ATX11" s="220"/>
      <c r="ATY11" s="220"/>
      <c r="ATZ11" s="220"/>
      <c r="AUA11" s="220"/>
      <c r="AUB11" s="220"/>
      <c r="AUC11" s="220"/>
      <c r="AUD11" s="220"/>
      <c r="AUE11" s="220"/>
      <c r="AUF11" s="220"/>
      <c r="AUG11" s="220"/>
      <c r="AUH11" s="220"/>
      <c r="AUI11" s="220"/>
      <c r="AUJ11" s="220"/>
      <c r="AUK11" s="220"/>
      <c r="AUL11" s="220"/>
      <c r="AUM11" s="220"/>
      <c r="AUN11" s="220"/>
      <c r="AUO11" s="220"/>
      <c r="AUP11" s="220"/>
      <c r="AUQ11" s="220"/>
      <c r="AUR11" s="220"/>
      <c r="AUS11" s="220"/>
      <c r="AUT11" s="220"/>
      <c r="AUU11" s="220"/>
      <c r="AUV11" s="220"/>
      <c r="AUW11" s="220"/>
      <c r="AUX11" s="220"/>
      <c r="AUY11" s="220"/>
      <c r="AUZ11" s="220"/>
      <c r="AVA11" s="220"/>
      <c r="AVB11" s="220"/>
      <c r="AVC11" s="220"/>
      <c r="AVD11" s="220"/>
      <c r="AVE11" s="220"/>
      <c r="AVF11" s="220"/>
      <c r="AVG11" s="220"/>
      <c r="AVH11" s="220"/>
      <c r="AVI11" s="220"/>
      <c r="AVJ11" s="220"/>
      <c r="AVK11" s="220"/>
      <c r="AVL11" s="220"/>
      <c r="AVM11" s="220"/>
      <c r="AVN11" s="220"/>
      <c r="AVO11" s="220"/>
      <c r="AVP11" s="220"/>
      <c r="AVQ11" s="220"/>
      <c r="AVR11" s="220" t="s">
        <v>52</v>
      </c>
      <c r="AVS11" s="220"/>
      <c r="AVT11" s="220"/>
      <c r="AVU11" s="220"/>
      <c r="AVV11" s="220"/>
      <c r="AVW11" s="220"/>
      <c r="AVX11" s="220"/>
      <c r="AVY11" s="220"/>
      <c r="AVZ11" s="220"/>
      <c r="AWA11" s="220"/>
      <c r="AWB11" s="220"/>
      <c r="AWC11" s="220"/>
      <c r="AWD11" s="220"/>
      <c r="AWE11" s="220"/>
      <c r="AWF11" s="220"/>
      <c r="AWG11" s="220"/>
      <c r="AWH11" s="220"/>
      <c r="AWI11" s="220"/>
      <c r="AWJ11" s="220"/>
      <c r="AWK11" s="220"/>
      <c r="AWL11" s="220"/>
      <c r="AWM11" s="220"/>
      <c r="AWN11" s="220"/>
      <c r="AWO11" s="220"/>
      <c r="AWP11" s="220"/>
      <c r="AWQ11" s="220"/>
      <c r="AWR11" s="220"/>
      <c r="AWS11" s="220"/>
      <c r="AWT11" s="220"/>
      <c r="AWU11" s="220"/>
      <c r="AWV11" s="220"/>
      <c r="AWW11" s="220"/>
      <c r="AWX11" s="220"/>
      <c r="AWY11" s="220"/>
      <c r="AWZ11" s="220"/>
      <c r="AXA11" s="220"/>
      <c r="AXB11" s="220"/>
      <c r="AXC11" s="220"/>
      <c r="AXD11" s="220"/>
      <c r="AXE11" s="220"/>
      <c r="AXF11" s="220"/>
      <c r="AXG11" s="220"/>
      <c r="AXH11" s="220"/>
      <c r="AXI11" s="220"/>
      <c r="AXJ11" s="220"/>
      <c r="AXK11" s="220"/>
      <c r="AXL11" s="220"/>
      <c r="AXM11" s="220"/>
      <c r="AXN11" s="220"/>
      <c r="AXO11" s="220"/>
      <c r="AXP11" s="220"/>
      <c r="AXQ11" s="220"/>
      <c r="AXR11" s="220"/>
      <c r="AXS11" s="220"/>
      <c r="AXT11" s="220"/>
      <c r="AXU11" s="220"/>
      <c r="AXV11" s="220"/>
      <c r="AXW11" s="220"/>
      <c r="AXX11" s="220"/>
      <c r="AXY11" s="220"/>
      <c r="AXZ11" s="220" t="s">
        <v>48</v>
      </c>
      <c r="AYA11" s="220"/>
      <c r="AYB11" s="220"/>
      <c r="AYC11" s="220"/>
      <c r="AYD11" s="220"/>
      <c r="AYE11" s="220"/>
      <c r="AYF11" s="220"/>
      <c r="AYG11" s="220"/>
      <c r="AYH11" s="220"/>
      <c r="AYI11" s="220"/>
      <c r="AYJ11" s="220"/>
      <c r="AYK11" s="220"/>
      <c r="AYL11" s="220"/>
      <c r="AYM11" s="220"/>
      <c r="AYN11" s="220"/>
      <c r="AYO11" s="220"/>
      <c r="AYP11" s="220"/>
      <c r="AYQ11" s="220"/>
      <c r="AYR11" s="220"/>
      <c r="AYS11" s="220"/>
      <c r="AYT11" s="220"/>
      <c r="AYU11" s="220"/>
      <c r="AYV11" s="220"/>
      <c r="AYW11" s="220"/>
      <c r="AYX11" s="220"/>
      <c r="AYY11" s="220"/>
      <c r="AYZ11" s="220"/>
      <c r="AZA11" s="220"/>
      <c r="AZB11" s="220"/>
      <c r="AZC11" s="220"/>
      <c r="AZD11" s="220"/>
      <c r="AZE11" s="220"/>
      <c r="AZF11" s="220"/>
      <c r="AZG11" s="220"/>
      <c r="AZH11" s="220"/>
      <c r="AZI11" s="220"/>
      <c r="AZJ11" s="220"/>
      <c r="AZK11" s="220"/>
      <c r="AZL11" s="220"/>
      <c r="AZM11" s="220"/>
      <c r="AZN11" s="220"/>
      <c r="AZO11" s="220"/>
      <c r="AZP11" s="220"/>
      <c r="AZQ11" s="220"/>
      <c r="AZR11" s="220"/>
      <c r="AZS11" s="220"/>
      <c r="AZT11" s="220"/>
      <c r="AZU11" s="220"/>
      <c r="AZV11" s="220"/>
      <c r="AZW11" s="220"/>
      <c r="AZX11" s="220"/>
      <c r="AZY11" s="220"/>
      <c r="AZZ11" s="220"/>
      <c r="BAA11" s="220"/>
      <c r="BAB11" s="220"/>
      <c r="BAC11" s="220"/>
      <c r="BAD11" s="220"/>
      <c r="BAE11" s="220"/>
      <c r="BAF11" s="220"/>
      <c r="BAG11" s="220"/>
      <c r="BAH11" s="220" t="s">
        <v>48</v>
      </c>
      <c r="BAI11" s="220"/>
      <c r="BAJ11" s="220"/>
      <c r="BAK11" s="220"/>
      <c r="BAL11" s="220"/>
      <c r="BAM11" s="220"/>
      <c r="BAN11" s="220"/>
      <c r="BAO11" s="220"/>
      <c r="BAP11" s="220"/>
      <c r="BAQ11" s="220"/>
      <c r="BAR11" s="220"/>
      <c r="BAS11" s="220"/>
      <c r="BAT11" s="220"/>
      <c r="BAU11" s="220"/>
      <c r="BAV11" s="220"/>
      <c r="BAW11" s="220"/>
      <c r="BAX11" s="220"/>
      <c r="BAY11" s="220"/>
      <c r="BAZ11" s="220"/>
      <c r="BBA11" s="220"/>
      <c r="BBB11" s="220"/>
      <c r="BBC11" s="220"/>
      <c r="BBD11" s="220"/>
      <c r="BBE11" s="220"/>
      <c r="BBF11" s="220"/>
      <c r="BBG11" s="220"/>
      <c r="BBH11" s="220"/>
      <c r="BBI11" s="220"/>
      <c r="BBJ11" s="220"/>
      <c r="BBK11" s="220"/>
      <c r="BBL11" s="220"/>
      <c r="BBM11" s="220"/>
      <c r="BBN11" s="220"/>
      <c r="BBO11" s="220"/>
      <c r="BBP11" s="220"/>
      <c r="BBQ11" s="220"/>
      <c r="BBR11" s="220"/>
      <c r="BBS11" s="220"/>
      <c r="BBT11" s="220"/>
      <c r="BBU11" s="220"/>
      <c r="BBV11" s="220"/>
      <c r="BBW11" s="220"/>
      <c r="BBX11" s="220"/>
      <c r="BBY11" s="220"/>
      <c r="BBZ11" s="220"/>
      <c r="BCA11" s="220"/>
      <c r="BCB11" s="220"/>
      <c r="BCC11" s="220"/>
      <c r="BCD11" s="220"/>
      <c r="BCE11" s="220"/>
      <c r="BCF11" s="220"/>
      <c r="BCG11" s="220"/>
      <c r="BCH11" s="220"/>
      <c r="BCI11" s="220"/>
      <c r="BCJ11" s="220"/>
      <c r="BCK11" s="220"/>
      <c r="BCL11" s="220"/>
      <c r="BCM11" s="220"/>
      <c r="BCN11" s="220"/>
      <c r="BCO11" s="220"/>
      <c r="BCP11" s="220" t="s">
        <v>47</v>
      </c>
      <c r="BCQ11" s="220"/>
      <c r="BCR11" s="220"/>
      <c r="BCS11" s="220"/>
      <c r="BCT11" s="220"/>
      <c r="BCU11" s="220"/>
      <c r="BCV11" s="220"/>
      <c r="BCW11" s="220"/>
      <c r="BCX11" s="220"/>
      <c r="BCY11" s="220"/>
      <c r="BCZ11" s="220"/>
      <c r="BDA11" s="220"/>
      <c r="BDB11" s="220"/>
      <c r="BDC11" s="220"/>
      <c r="BDD11" s="220"/>
      <c r="BDE11" s="220"/>
      <c r="BDF11" s="220"/>
      <c r="BDG11" s="220"/>
      <c r="BDH11" s="220"/>
      <c r="BDI11" s="220"/>
      <c r="BDJ11" s="220"/>
      <c r="BDK11" s="220"/>
      <c r="BDL11" s="220"/>
      <c r="BDM11" s="220"/>
      <c r="BDN11" s="220"/>
      <c r="BDO11" s="220"/>
      <c r="BDP11" s="220"/>
      <c r="BDQ11" s="220"/>
      <c r="BDR11" s="220"/>
      <c r="BDS11" s="220"/>
      <c r="BDT11" s="220"/>
      <c r="BDU11" s="220"/>
      <c r="BDV11" s="220"/>
      <c r="BDW11" s="220"/>
      <c r="BDX11" s="220"/>
      <c r="BDY11" s="220"/>
      <c r="BDZ11" s="220"/>
      <c r="BEA11" s="220"/>
      <c r="BEB11" s="220"/>
      <c r="BEC11" s="220"/>
      <c r="BED11" s="220"/>
      <c r="BEE11" s="220"/>
      <c r="BEF11" s="220"/>
      <c r="BEG11" s="220"/>
      <c r="BEH11" s="220"/>
      <c r="BEI11" s="220"/>
      <c r="BEJ11" s="220"/>
      <c r="BEK11" s="220"/>
      <c r="BEL11" s="220"/>
      <c r="BEM11" s="220"/>
      <c r="BEN11" s="220"/>
      <c r="BEO11" s="220"/>
      <c r="BEP11" s="220"/>
      <c r="BEQ11" s="220"/>
      <c r="BER11" s="220"/>
      <c r="BES11" s="220"/>
      <c r="BET11" s="220"/>
      <c r="BEU11" s="220"/>
      <c r="BEV11" s="220"/>
      <c r="BEW11" s="220"/>
      <c r="BEX11" s="220" t="s">
        <v>47</v>
      </c>
      <c r="BEY11" s="220"/>
      <c r="BEZ11" s="220"/>
      <c r="BFA11" s="220"/>
      <c r="BFB11" s="220"/>
      <c r="BFC11" s="220"/>
      <c r="BFD11" s="220"/>
      <c r="BFE11" s="220"/>
      <c r="BFF11" s="220"/>
      <c r="BFG11" s="220"/>
      <c r="BFH11" s="220"/>
      <c r="BFI11" s="220"/>
      <c r="BFJ11" s="220"/>
      <c r="BFK11" s="220"/>
      <c r="BFL11" s="220"/>
      <c r="BFM11" s="220"/>
      <c r="BFN11" s="220"/>
      <c r="BFO11" s="220"/>
      <c r="BFP11" s="220"/>
      <c r="BFQ11" s="220"/>
      <c r="BFR11" s="220"/>
      <c r="BFS11" s="220"/>
      <c r="BFT11" s="220"/>
      <c r="BFU11" s="220"/>
      <c r="BFV11" s="220"/>
      <c r="BFW11" s="220"/>
      <c r="BFX11" s="220"/>
      <c r="BFY11" s="220"/>
      <c r="BFZ11" s="220"/>
      <c r="BGA11" s="220"/>
      <c r="BGB11" s="220"/>
      <c r="BGC11" s="220"/>
      <c r="BGD11" s="220"/>
      <c r="BGE11" s="220"/>
      <c r="BGF11" s="220"/>
      <c r="BGG11" s="220"/>
      <c r="BGH11" s="220"/>
      <c r="BGI11" s="220"/>
      <c r="BGJ11" s="220"/>
      <c r="BGK11" s="220"/>
      <c r="BGL11" s="220"/>
      <c r="BGM11" s="220"/>
      <c r="BGN11" s="220"/>
      <c r="BGO11" s="220"/>
      <c r="BGP11" s="220"/>
      <c r="BGQ11" s="220"/>
      <c r="BGR11" s="220"/>
      <c r="BGS11" s="220"/>
      <c r="BGT11" s="220"/>
      <c r="BGU11" s="220"/>
      <c r="BGV11" s="220"/>
      <c r="BGW11" s="220"/>
      <c r="BGX11" s="220"/>
      <c r="BGY11" s="220"/>
      <c r="BGZ11" s="220"/>
      <c r="BHA11" s="220"/>
      <c r="BHB11" s="220"/>
      <c r="BHC11" s="220"/>
      <c r="BHD11" s="220"/>
      <c r="BHE11" s="220"/>
      <c r="BHF11" s="220" t="s">
        <v>46</v>
      </c>
      <c r="BHG11" s="220"/>
      <c r="BHH11" s="220"/>
      <c r="BHI11" s="220"/>
      <c r="BHJ11" s="220"/>
      <c r="BHK11" s="220"/>
      <c r="BHL11" s="220"/>
      <c r="BHM11" s="220"/>
      <c r="BHN11" s="220"/>
      <c r="BHO11" s="220"/>
      <c r="BHP11" s="220"/>
      <c r="BHQ11" s="220"/>
      <c r="BHR11" s="220"/>
      <c r="BHS11" s="220"/>
      <c r="BHT11" s="220"/>
      <c r="BHU11" s="220"/>
      <c r="BHV11" s="220"/>
      <c r="BHW11" s="220"/>
      <c r="BHX11" s="220"/>
      <c r="BHY11" s="220"/>
      <c r="BHZ11" s="220"/>
      <c r="BIA11" s="220"/>
      <c r="BIB11" s="220"/>
      <c r="BIC11" s="220"/>
      <c r="BID11" s="220"/>
      <c r="BIE11" s="220"/>
      <c r="BIF11" s="220"/>
      <c r="BIG11" s="220"/>
      <c r="BIH11" s="220"/>
      <c r="BII11" s="220"/>
      <c r="BIJ11" s="220"/>
      <c r="BIK11" s="220"/>
      <c r="BIL11" s="220"/>
      <c r="BIM11" s="220"/>
      <c r="BIN11" s="220"/>
      <c r="BIO11" s="220"/>
      <c r="BIP11" s="220"/>
      <c r="BIQ11" s="220"/>
      <c r="BIR11" s="220"/>
      <c r="BIS11" s="220"/>
      <c r="BIT11" s="220"/>
      <c r="BIU11" s="220"/>
      <c r="BIV11" s="220"/>
      <c r="BIW11" s="220"/>
      <c r="BIX11" s="220"/>
      <c r="BIY11" s="220"/>
      <c r="BIZ11" s="220"/>
      <c r="BJA11" s="220"/>
      <c r="BJB11" s="220"/>
      <c r="BJC11" s="220"/>
      <c r="BJD11" s="220"/>
      <c r="BJE11" s="220"/>
      <c r="BJF11" s="220"/>
      <c r="BJG11" s="220"/>
      <c r="BJH11" s="220"/>
      <c r="BJI11" s="220"/>
      <c r="BJJ11" s="220"/>
      <c r="BJK11" s="220"/>
      <c r="BJL11" s="220"/>
      <c r="BJM11" s="220"/>
      <c r="BJN11" s="220" t="s">
        <v>46</v>
      </c>
      <c r="BJO11" s="220"/>
      <c r="BJP11" s="220"/>
      <c r="BJQ11" s="220"/>
      <c r="BJR11" s="220"/>
      <c r="BJS11" s="220"/>
      <c r="BJT11" s="220"/>
      <c r="BJU11" s="220"/>
      <c r="BJV11" s="220"/>
      <c r="BJW11" s="220"/>
      <c r="BJX11" s="220"/>
      <c r="BJY11" s="220"/>
      <c r="BJZ11" s="220"/>
      <c r="BKA11" s="220"/>
      <c r="BKB11" s="220"/>
      <c r="BKC11" s="220"/>
      <c r="BKD11" s="220"/>
      <c r="BKE11" s="220"/>
      <c r="BKF11" s="220"/>
      <c r="BKG11" s="220"/>
      <c r="BKH11" s="220"/>
      <c r="BKI11" s="220"/>
      <c r="BKJ11" s="220"/>
      <c r="BKK11" s="220"/>
      <c r="BKL11" s="220"/>
      <c r="BKM11" s="220"/>
      <c r="BKN11" s="220"/>
      <c r="BKO11" s="220"/>
      <c r="BKP11" s="220"/>
      <c r="BKQ11" s="220"/>
      <c r="BKR11" s="220"/>
      <c r="BKS11" s="220"/>
      <c r="BKT11" s="220"/>
      <c r="BKU11" s="220"/>
      <c r="BKV11" s="220"/>
      <c r="BKW11" s="220"/>
      <c r="BKX11" s="220"/>
      <c r="BKY11" s="220"/>
      <c r="BKZ11" s="220"/>
      <c r="BLA11" s="220"/>
      <c r="BLB11" s="220"/>
      <c r="BLC11" s="220"/>
      <c r="BLD11" s="220"/>
      <c r="BLE11" s="220"/>
      <c r="BLF11" s="220"/>
      <c r="BLG11" s="220"/>
      <c r="BLH11" s="220"/>
      <c r="BLI11" s="220"/>
      <c r="BLJ11" s="220"/>
      <c r="BLK11" s="220"/>
      <c r="BLL11" s="220"/>
      <c r="BLM11" s="220"/>
      <c r="BLN11" s="220"/>
      <c r="BLO11" s="220"/>
      <c r="BLP11" s="220"/>
      <c r="BLQ11" s="220"/>
      <c r="BLR11" s="220"/>
      <c r="BLS11" s="220"/>
      <c r="BLT11" s="220"/>
      <c r="BLU11" s="220"/>
    </row>
    <row r="12" spans="1:1744" ht="15.75" customHeight="1" thickBot="1" x14ac:dyDescent="0.3">
      <c r="B12" s="97"/>
      <c r="C12" s="231"/>
      <c r="D12" s="231"/>
      <c r="E12" s="231"/>
      <c r="F12" s="219" t="s">
        <v>44</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45</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1" t="s">
        <v>44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t="s">
        <v>45</v>
      </c>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t="s">
        <v>44</v>
      </c>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t="s">
        <v>45</v>
      </c>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c r="LT12" s="221"/>
      <c r="LU12" s="221"/>
      <c r="LV12" s="221"/>
      <c r="LW12" s="221"/>
      <c r="LX12" s="221"/>
      <c r="LY12" s="221"/>
      <c r="LZ12" s="221"/>
      <c r="MA12" s="221"/>
      <c r="MB12" s="221"/>
      <c r="MC12" s="221"/>
      <c r="MD12" s="221"/>
      <c r="ME12" s="221"/>
      <c r="MF12" s="221"/>
      <c r="MG12" s="221"/>
      <c r="MH12" s="221"/>
      <c r="MI12" s="221"/>
      <c r="MJ12" s="221"/>
      <c r="MK12" s="221"/>
      <c r="ML12" s="221"/>
      <c r="MM12" s="221"/>
      <c r="MN12" s="221"/>
      <c r="MO12" s="221"/>
      <c r="MP12" s="221"/>
      <c r="MQ12" s="221"/>
      <c r="MR12" s="221"/>
      <c r="MS12" s="221"/>
      <c r="MT12" s="221"/>
      <c r="MU12" s="221"/>
      <c r="MV12" s="221"/>
      <c r="MW12" s="221"/>
      <c r="MX12" s="221"/>
      <c r="MY12" s="221"/>
      <c r="MZ12" s="221"/>
      <c r="NA12" s="221"/>
      <c r="NB12" s="221" t="s">
        <v>45</v>
      </c>
      <c r="NC12" s="221"/>
      <c r="ND12" s="221"/>
      <c r="NE12" s="221"/>
      <c r="NF12" s="221"/>
      <c r="NG12" s="221"/>
      <c r="NH12" s="221"/>
      <c r="NI12" s="221"/>
      <c r="NJ12" s="221"/>
      <c r="NK12" s="221"/>
      <c r="NL12" s="221"/>
      <c r="NM12" s="221"/>
      <c r="NN12" s="221"/>
      <c r="NO12" s="221"/>
      <c r="NP12" s="221"/>
      <c r="NQ12" s="221"/>
      <c r="NR12" s="221"/>
      <c r="NS12" s="221"/>
      <c r="NT12" s="221"/>
      <c r="NU12" s="221"/>
      <c r="NV12" s="221"/>
      <c r="NW12" s="221"/>
      <c r="NX12" s="221"/>
      <c r="NY12" s="221"/>
      <c r="NZ12" s="221"/>
      <c r="OA12" s="221"/>
      <c r="OB12" s="221"/>
      <c r="OC12" s="221"/>
      <c r="OD12" s="221"/>
      <c r="OE12" s="221"/>
      <c r="OF12" s="221"/>
      <c r="OG12" s="221"/>
      <c r="OH12" s="221"/>
      <c r="OI12" s="221"/>
      <c r="OJ12" s="221"/>
      <c r="OK12" s="221"/>
      <c r="OL12" s="221"/>
      <c r="OM12" s="221"/>
      <c r="ON12" s="221"/>
      <c r="OO12" s="221"/>
      <c r="OP12" s="221"/>
      <c r="OQ12" s="221"/>
      <c r="OR12" s="221"/>
      <c r="OS12" s="221"/>
      <c r="OT12" s="221"/>
      <c r="OU12" s="221"/>
      <c r="OV12" s="221"/>
      <c r="OW12" s="221"/>
      <c r="OX12" s="221"/>
      <c r="OY12" s="221"/>
      <c r="OZ12" s="221"/>
      <c r="PA12" s="221"/>
      <c r="PB12" s="221"/>
      <c r="PC12" s="221"/>
      <c r="PD12" s="221"/>
      <c r="PE12" s="221"/>
      <c r="PF12" s="221"/>
      <c r="PG12" s="221"/>
      <c r="PH12" s="221"/>
      <c r="PI12" s="221"/>
      <c r="PJ12" s="221" t="s">
        <v>44</v>
      </c>
      <c r="PK12" s="221"/>
      <c r="PL12" s="221"/>
      <c r="PM12" s="221"/>
      <c r="PN12" s="221"/>
      <c r="PO12" s="221"/>
      <c r="PP12" s="221"/>
      <c r="PQ12" s="221"/>
      <c r="PR12" s="221"/>
      <c r="PS12" s="221"/>
      <c r="PT12" s="221"/>
      <c r="PU12" s="221"/>
      <c r="PV12" s="221"/>
      <c r="PW12" s="221"/>
      <c r="PX12" s="221"/>
      <c r="PY12" s="221"/>
      <c r="PZ12" s="221"/>
      <c r="QA12" s="221"/>
      <c r="QB12" s="221"/>
      <c r="QC12" s="221"/>
      <c r="QD12" s="221"/>
      <c r="QE12" s="221"/>
      <c r="QF12" s="221"/>
      <c r="QG12" s="221"/>
      <c r="QH12" s="221"/>
      <c r="QI12" s="221"/>
      <c r="QJ12" s="221"/>
      <c r="QK12" s="221"/>
      <c r="QL12" s="221"/>
      <c r="QM12" s="221"/>
      <c r="QN12" s="221"/>
      <c r="QO12" s="221"/>
      <c r="QP12" s="221"/>
      <c r="QQ12" s="221"/>
      <c r="QR12" s="221"/>
      <c r="QS12" s="221"/>
      <c r="QT12" s="221"/>
      <c r="QU12" s="221"/>
      <c r="QV12" s="221"/>
      <c r="QW12" s="221"/>
      <c r="QX12" s="221"/>
      <c r="QY12" s="221"/>
      <c r="QZ12" s="221"/>
      <c r="RA12" s="221"/>
      <c r="RB12" s="221"/>
      <c r="RC12" s="221"/>
      <c r="RD12" s="221"/>
      <c r="RE12" s="221"/>
      <c r="RF12" s="221"/>
      <c r="RG12" s="221"/>
      <c r="RH12" s="221"/>
      <c r="RI12" s="221"/>
      <c r="RJ12" s="221"/>
      <c r="RK12" s="221"/>
      <c r="RL12" s="221"/>
      <c r="RM12" s="221"/>
      <c r="RN12" s="221"/>
      <c r="RO12" s="221"/>
      <c r="RP12" s="221"/>
      <c r="RQ12" s="221"/>
      <c r="RR12" s="221" t="s">
        <v>45</v>
      </c>
      <c r="RS12" s="221"/>
      <c r="RT12" s="221"/>
      <c r="RU12" s="221"/>
      <c r="RV12" s="221"/>
      <c r="RW12" s="221"/>
      <c r="RX12" s="221"/>
      <c r="RY12" s="221"/>
      <c r="RZ12" s="221"/>
      <c r="SA12" s="221"/>
      <c r="SB12" s="221"/>
      <c r="SC12" s="221"/>
      <c r="SD12" s="221"/>
      <c r="SE12" s="221"/>
      <c r="SF12" s="221"/>
      <c r="SG12" s="221"/>
      <c r="SH12" s="221"/>
      <c r="SI12" s="221"/>
      <c r="SJ12" s="221"/>
      <c r="SK12" s="221"/>
      <c r="SL12" s="221"/>
      <c r="SM12" s="221"/>
      <c r="SN12" s="221"/>
      <c r="SO12" s="221"/>
      <c r="SP12" s="221"/>
      <c r="SQ12" s="221"/>
      <c r="SR12" s="221"/>
      <c r="SS12" s="221"/>
      <c r="ST12" s="221"/>
      <c r="SU12" s="221"/>
      <c r="SV12" s="221"/>
      <c r="SW12" s="221"/>
      <c r="SX12" s="221"/>
      <c r="SY12" s="221"/>
      <c r="SZ12" s="221"/>
      <c r="TA12" s="221"/>
      <c r="TB12" s="221"/>
      <c r="TC12" s="221"/>
      <c r="TD12" s="221"/>
      <c r="TE12" s="221"/>
      <c r="TF12" s="221"/>
      <c r="TG12" s="221"/>
      <c r="TH12" s="221"/>
      <c r="TI12" s="221"/>
      <c r="TJ12" s="221"/>
      <c r="TK12" s="221"/>
      <c r="TL12" s="221"/>
      <c r="TM12" s="221"/>
      <c r="TN12" s="221"/>
      <c r="TO12" s="221"/>
      <c r="TP12" s="221"/>
      <c r="TQ12" s="221"/>
      <c r="TR12" s="221"/>
      <c r="TS12" s="221"/>
      <c r="TT12" s="221"/>
      <c r="TU12" s="221"/>
      <c r="TV12" s="221"/>
      <c r="TW12" s="221"/>
      <c r="TX12" s="221"/>
      <c r="TY12" s="221"/>
      <c r="TZ12" s="221" t="s">
        <v>44</v>
      </c>
      <c r="UA12" s="221"/>
      <c r="UB12" s="221"/>
      <c r="UC12" s="221"/>
      <c r="UD12" s="221"/>
      <c r="UE12" s="221"/>
      <c r="UF12" s="221"/>
      <c r="UG12" s="221"/>
      <c r="UH12" s="221"/>
      <c r="UI12" s="221"/>
      <c r="UJ12" s="221"/>
      <c r="UK12" s="221"/>
      <c r="UL12" s="221"/>
      <c r="UM12" s="221"/>
      <c r="UN12" s="221"/>
      <c r="UO12" s="221"/>
      <c r="UP12" s="221"/>
      <c r="UQ12" s="221"/>
      <c r="UR12" s="221"/>
      <c r="US12" s="221"/>
      <c r="UT12" s="221"/>
      <c r="UU12" s="221"/>
      <c r="UV12" s="221"/>
      <c r="UW12" s="221"/>
      <c r="UX12" s="221"/>
      <c r="UY12" s="221"/>
      <c r="UZ12" s="221"/>
      <c r="VA12" s="221"/>
      <c r="VB12" s="221"/>
      <c r="VC12" s="221"/>
      <c r="VD12" s="221"/>
      <c r="VE12" s="221"/>
      <c r="VF12" s="221"/>
      <c r="VG12" s="221"/>
      <c r="VH12" s="221"/>
      <c r="VI12" s="221"/>
      <c r="VJ12" s="221"/>
      <c r="VK12" s="221"/>
      <c r="VL12" s="221"/>
      <c r="VM12" s="221"/>
      <c r="VN12" s="221"/>
      <c r="VO12" s="221"/>
      <c r="VP12" s="221"/>
      <c r="VQ12" s="221"/>
      <c r="VR12" s="221"/>
      <c r="VS12" s="221"/>
      <c r="VT12" s="221"/>
      <c r="VU12" s="221"/>
      <c r="VV12" s="221"/>
      <c r="VW12" s="221"/>
      <c r="VX12" s="221"/>
      <c r="VY12" s="221"/>
      <c r="VZ12" s="221"/>
      <c r="WA12" s="221"/>
      <c r="WB12" s="221"/>
      <c r="WC12" s="221"/>
      <c r="WD12" s="221"/>
      <c r="WE12" s="221"/>
      <c r="WF12" s="221"/>
      <c r="WG12" s="221"/>
      <c r="WH12" s="221" t="s">
        <v>45</v>
      </c>
      <c r="WI12" s="221"/>
      <c r="WJ12" s="221"/>
      <c r="WK12" s="221"/>
      <c r="WL12" s="221"/>
      <c r="WM12" s="221"/>
      <c r="WN12" s="221"/>
      <c r="WO12" s="221"/>
      <c r="WP12" s="221"/>
      <c r="WQ12" s="221"/>
      <c r="WR12" s="221"/>
      <c r="WS12" s="221"/>
      <c r="WT12" s="221"/>
      <c r="WU12" s="221"/>
      <c r="WV12" s="221"/>
      <c r="WW12" s="221"/>
      <c r="WX12" s="221"/>
      <c r="WY12" s="221"/>
      <c r="WZ12" s="221"/>
      <c r="XA12" s="221"/>
      <c r="XB12" s="221"/>
      <c r="XC12" s="221"/>
      <c r="XD12" s="221"/>
      <c r="XE12" s="221"/>
      <c r="XF12" s="221"/>
      <c r="XG12" s="221"/>
      <c r="XH12" s="221"/>
      <c r="XI12" s="221"/>
      <c r="XJ12" s="221"/>
      <c r="XK12" s="221"/>
      <c r="XL12" s="221"/>
      <c r="XM12" s="221"/>
      <c r="XN12" s="221"/>
      <c r="XO12" s="221"/>
      <c r="XP12" s="221"/>
      <c r="XQ12" s="221"/>
      <c r="XR12" s="221"/>
      <c r="XS12" s="221"/>
      <c r="XT12" s="221"/>
      <c r="XU12" s="221"/>
      <c r="XV12" s="221"/>
      <c r="XW12" s="221"/>
      <c r="XX12" s="221"/>
      <c r="XY12" s="221"/>
      <c r="XZ12" s="221"/>
      <c r="YA12" s="221"/>
      <c r="YB12" s="221"/>
      <c r="YC12" s="221"/>
      <c r="YD12" s="221"/>
      <c r="YE12" s="221"/>
      <c r="YF12" s="221"/>
      <c r="YG12" s="221"/>
      <c r="YH12" s="221"/>
      <c r="YI12" s="221"/>
      <c r="YJ12" s="221"/>
      <c r="YK12" s="221"/>
      <c r="YL12" s="221"/>
      <c r="YM12" s="221"/>
      <c r="YN12" s="221"/>
      <c r="YO12" s="221"/>
      <c r="YP12" s="221" t="s">
        <v>44</v>
      </c>
      <c r="YQ12" s="221"/>
      <c r="YR12" s="221"/>
      <c r="YS12" s="221"/>
      <c r="YT12" s="221"/>
      <c r="YU12" s="221"/>
      <c r="YV12" s="221"/>
      <c r="YW12" s="221"/>
      <c r="YX12" s="221"/>
      <c r="YY12" s="221"/>
      <c r="YZ12" s="221"/>
      <c r="ZA12" s="221"/>
      <c r="ZB12" s="221"/>
      <c r="ZC12" s="221"/>
      <c r="ZD12" s="221"/>
      <c r="ZE12" s="221"/>
      <c r="ZF12" s="221"/>
      <c r="ZG12" s="221"/>
      <c r="ZH12" s="221"/>
      <c r="ZI12" s="221"/>
      <c r="ZJ12" s="221"/>
      <c r="ZK12" s="221"/>
      <c r="ZL12" s="221"/>
      <c r="ZM12" s="221"/>
      <c r="ZN12" s="221"/>
      <c r="ZO12" s="221"/>
      <c r="ZP12" s="221"/>
      <c r="ZQ12" s="221"/>
      <c r="ZR12" s="221"/>
      <c r="ZS12" s="221"/>
      <c r="ZT12" s="221"/>
      <c r="ZU12" s="221"/>
      <c r="ZV12" s="221"/>
      <c r="ZW12" s="221"/>
      <c r="ZX12" s="221"/>
      <c r="ZY12" s="221"/>
      <c r="ZZ12" s="221"/>
      <c r="AAA12" s="221"/>
      <c r="AAB12" s="221"/>
      <c r="AAC12" s="221"/>
      <c r="AAD12" s="221"/>
      <c r="AAE12" s="221"/>
      <c r="AAF12" s="221"/>
      <c r="AAG12" s="221"/>
      <c r="AAH12" s="221"/>
      <c r="AAI12" s="221"/>
      <c r="AAJ12" s="221"/>
      <c r="AAK12" s="221"/>
      <c r="AAL12" s="221"/>
      <c r="AAM12" s="221"/>
      <c r="AAN12" s="221"/>
      <c r="AAO12" s="221"/>
      <c r="AAP12" s="221"/>
      <c r="AAQ12" s="221"/>
      <c r="AAR12" s="221"/>
      <c r="AAS12" s="221"/>
      <c r="AAT12" s="221"/>
      <c r="AAU12" s="221"/>
      <c r="AAV12" s="221"/>
      <c r="AAW12" s="221"/>
      <c r="AAX12" s="221" t="s">
        <v>45</v>
      </c>
      <c r="AAY12" s="221"/>
      <c r="AAZ12" s="221"/>
      <c r="ABA12" s="221"/>
      <c r="ABB12" s="221"/>
      <c r="ABC12" s="221"/>
      <c r="ABD12" s="221"/>
      <c r="ABE12" s="221"/>
      <c r="ABF12" s="221"/>
      <c r="ABG12" s="221"/>
      <c r="ABH12" s="221"/>
      <c r="ABI12" s="221"/>
      <c r="ABJ12" s="221"/>
      <c r="ABK12" s="221"/>
      <c r="ABL12" s="221"/>
      <c r="ABM12" s="221"/>
      <c r="ABN12" s="221"/>
      <c r="ABO12" s="221"/>
      <c r="ABP12" s="221"/>
      <c r="ABQ12" s="221"/>
      <c r="ABR12" s="221"/>
      <c r="ABS12" s="221"/>
      <c r="ABT12" s="221"/>
      <c r="ABU12" s="221"/>
      <c r="ABV12" s="221"/>
      <c r="ABW12" s="221"/>
      <c r="ABX12" s="221"/>
      <c r="ABY12" s="221"/>
      <c r="ABZ12" s="221"/>
      <c r="ACA12" s="221"/>
      <c r="ACB12" s="221"/>
      <c r="ACC12" s="221"/>
      <c r="ACD12" s="221"/>
      <c r="ACE12" s="221"/>
      <c r="ACF12" s="221"/>
      <c r="ACG12" s="221"/>
      <c r="ACH12" s="221"/>
      <c r="ACI12" s="221"/>
      <c r="ACJ12" s="221"/>
      <c r="ACK12" s="221"/>
      <c r="ACL12" s="221"/>
      <c r="ACM12" s="221"/>
      <c r="ACN12" s="221"/>
      <c r="ACO12" s="221"/>
      <c r="ACP12" s="221"/>
      <c r="ACQ12" s="221"/>
      <c r="ACR12" s="221"/>
      <c r="ACS12" s="221"/>
      <c r="ACT12" s="221"/>
      <c r="ACU12" s="221"/>
      <c r="ACV12" s="221"/>
      <c r="ACW12" s="221"/>
      <c r="ACX12" s="221"/>
      <c r="ACY12" s="221"/>
      <c r="ACZ12" s="221"/>
      <c r="ADA12" s="221"/>
      <c r="ADB12" s="221"/>
      <c r="ADC12" s="221"/>
      <c r="ADD12" s="221"/>
      <c r="ADE12" s="221"/>
      <c r="ADF12" s="221" t="s">
        <v>45</v>
      </c>
      <c r="ADG12" s="221"/>
      <c r="ADH12" s="221"/>
      <c r="ADI12" s="221"/>
      <c r="ADJ12" s="221"/>
      <c r="ADK12" s="221"/>
      <c r="ADL12" s="221"/>
      <c r="ADM12" s="221"/>
      <c r="ADN12" s="221"/>
      <c r="ADO12" s="221"/>
      <c r="ADP12" s="221"/>
      <c r="ADQ12" s="221"/>
      <c r="ADR12" s="221"/>
      <c r="ADS12" s="221"/>
      <c r="ADT12" s="221"/>
      <c r="ADU12" s="221"/>
      <c r="ADV12" s="221"/>
      <c r="ADW12" s="221"/>
      <c r="ADX12" s="221"/>
      <c r="ADY12" s="221"/>
      <c r="ADZ12" s="221"/>
      <c r="AEA12" s="221"/>
      <c r="AEB12" s="221"/>
      <c r="AEC12" s="221"/>
      <c r="AED12" s="221"/>
      <c r="AEE12" s="221"/>
      <c r="AEF12" s="221"/>
      <c r="AEG12" s="221"/>
      <c r="AEH12" s="221"/>
      <c r="AEI12" s="221"/>
      <c r="AEJ12" s="221"/>
      <c r="AEK12" s="221"/>
      <c r="AEL12" s="221"/>
      <c r="AEM12" s="221"/>
      <c r="AEN12" s="221"/>
      <c r="AEO12" s="221"/>
      <c r="AEP12" s="221"/>
      <c r="AEQ12" s="221"/>
      <c r="AER12" s="221"/>
      <c r="AES12" s="221"/>
      <c r="AET12" s="221"/>
      <c r="AEU12" s="221"/>
      <c r="AEV12" s="221"/>
      <c r="AEW12" s="221"/>
      <c r="AEX12" s="221"/>
      <c r="AEY12" s="221"/>
      <c r="AEZ12" s="221"/>
      <c r="AFA12" s="221"/>
      <c r="AFB12" s="221"/>
      <c r="AFC12" s="221"/>
      <c r="AFD12" s="221"/>
      <c r="AFE12" s="221"/>
      <c r="AFF12" s="221"/>
      <c r="AFG12" s="221"/>
      <c r="AFH12" s="221"/>
      <c r="AFI12" s="221"/>
      <c r="AFJ12" s="221"/>
      <c r="AFK12" s="221"/>
      <c r="AFL12" s="221"/>
      <c r="AFM12" s="221"/>
      <c r="AFN12" s="221" t="s">
        <v>44</v>
      </c>
      <c r="AFO12" s="221"/>
      <c r="AFP12" s="221"/>
      <c r="AFQ12" s="221"/>
      <c r="AFR12" s="221"/>
      <c r="AFS12" s="221"/>
      <c r="AFT12" s="221"/>
      <c r="AFU12" s="221"/>
      <c r="AFV12" s="221"/>
      <c r="AFW12" s="221"/>
      <c r="AFX12" s="221"/>
      <c r="AFY12" s="221"/>
      <c r="AFZ12" s="221"/>
      <c r="AGA12" s="221"/>
      <c r="AGB12" s="221"/>
      <c r="AGC12" s="221"/>
      <c r="AGD12" s="221"/>
      <c r="AGE12" s="221"/>
      <c r="AGF12" s="221"/>
      <c r="AGG12" s="221"/>
      <c r="AGH12" s="221"/>
      <c r="AGI12" s="221"/>
      <c r="AGJ12" s="221"/>
      <c r="AGK12" s="221"/>
      <c r="AGL12" s="221"/>
      <c r="AGM12" s="221"/>
      <c r="AGN12" s="221"/>
      <c r="AGO12" s="221"/>
      <c r="AGP12" s="221"/>
      <c r="AGQ12" s="221"/>
      <c r="AGR12" s="221"/>
      <c r="AGS12" s="221"/>
      <c r="AGT12" s="221"/>
      <c r="AGU12" s="221"/>
      <c r="AGV12" s="221"/>
      <c r="AGW12" s="221"/>
      <c r="AGX12" s="221"/>
      <c r="AGY12" s="221"/>
      <c r="AGZ12" s="221"/>
      <c r="AHA12" s="221"/>
      <c r="AHB12" s="221"/>
      <c r="AHC12" s="221"/>
      <c r="AHD12" s="221"/>
      <c r="AHE12" s="221"/>
      <c r="AHF12" s="221"/>
      <c r="AHG12" s="221"/>
      <c r="AHH12" s="221"/>
      <c r="AHI12" s="221"/>
      <c r="AHJ12" s="221"/>
      <c r="AHK12" s="221"/>
      <c r="AHL12" s="221"/>
      <c r="AHM12" s="221"/>
      <c r="AHN12" s="221"/>
      <c r="AHO12" s="221"/>
      <c r="AHP12" s="221"/>
      <c r="AHQ12" s="221"/>
      <c r="AHR12" s="221"/>
      <c r="AHS12" s="221"/>
      <c r="AHT12" s="221"/>
      <c r="AHU12" s="221"/>
      <c r="AHV12" s="221" t="s">
        <v>45</v>
      </c>
      <c r="AHW12" s="221"/>
      <c r="AHX12" s="221"/>
      <c r="AHY12" s="221"/>
      <c r="AHZ12" s="221"/>
      <c r="AIA12" s="221"/>
      <c r="AIB12" s="221"/>
      <c r="AIC12" s="221"/>
      <c r="AID12" s="221"/>
      <c r="AIE12" s="221"/>
      <c r="AIF12" s="221"/>
      <c r="AIG12" s="221"/>
      <c r="AIH12" s="221"/>
      <c r="AII12" s="221"/>
      <c r="AIJ12" s="221"/>
      <c r="AIK12" s="221"/>
      <c r="AIL12" s="221"/>
      <c r="AIM12" s="221"/>
      <c r="AIN12" s="221"/>
      <c r="AIO12" s="221"/>
      <c r="AIP12" s="221"/>
      <c r="AIQ12" s="221"/>
      <c r="AIR12" s="221"/>
      <c r="AIS12" s="221"/>
      <c r="AIT12" s="221"/>
      <c r="AIU12" s="221"/>
      <c r="AIV12" s="221"/>
      <c r="AIW12" s="221"/>
      <c r="AIX12" s="221"/>
      <c r="AIY12" s="221"/>
      <c r="AIZ12" s="221"/>
      <c r="AJA12" s="221"/>
      <c r="AJB12" s="221"/>
      <c r="AJC12" s="221"/>
      <c r="AJD12" s="221"/>
      <c r="AJE12" s="221"/>
      <c r="AJF12" s="221"/>
      <c r="AJG12" s="221"/>
      <c r="AJH12" s="221"/>
      <c r="AJI12" s="221"/>
      <c r="AJJ12" s="221"/>
      <c r="AJK12" s="221"/>
      <c r="AJL12" s="221"/>
      <c r="AJM12" s="221"/>
      <c r="AJN12" s="221"/>
      <c r="AJO12" s="221"/>
      <c r="AJP12" s="221"/>
      <c r="AJQ12" s="221"/>
      <c r="AJR12" s="221"/>
      <c r="AJS12" s="221"/>
      <c r="AJT12" s="221"/>
      <c r="AJU12" s="221"/>
      <c r="AJV12" s="221"/>
      <c r="AJW12" s="221"/>
      <c r="AJX12" s="221"/>
      <c r="AJY12" s="221"/>
      <c r="AJZ12" s="221"/>
      <c r="AKA12" s="221"/>
      <c r="AKB12" s="221"/>
      <c r="AKC12" s="221"/>
      <c r="AKD12" s="221" t="s">
        <v>45</v>
      </c>
      <c r="AKE12" s="221"/>
      <c r="AKF12" s="221"/>
      <c r="AKG12" s="221"/>
      <c r="AKH12" s="221"/>
      <c r="AKI12" s="221"/>
      <c r="AKJ12" s="221"/>
      <c r="AKK12" s="221"/>
      <c r="AKL12" s="221"/>
      <c r="AKM12" s="221"/>
      <c r="AKN12" s="221"/>
      <c r="AKO12" s="221"/>
      <c r="AKP12" s="221"/>
      <c r="AKQ12" s="221"/>
      <c r="AKR12" s="221"/>
      <c r="AKS12" s="221"/>
      <c r="AKT12" s="221"/>
      <c r="AKU12" s="221"/>
      <c r="AKV12" s="221"/>
      <c r="AKW12" s="221"/>
      <c r="AKX12" s="221"/>
      <c r="AKY12" s="221"/>
      <c r="AKZ12" s="221"/>
      <c r="ALA12" s="221"/>
      <c r="ALB12" s="221"/>
      <c r="ALC12" s="221"/>
      <c r="ALD12" s="221"/>
      <c r="ALE12" s="221"/>
      <c r="ALF12" s="221"/>
      <c r="ALG12" s="221"/>
      <c r="ALH12" s="221"/>
      <c r="ALI12" s="221"/>
      <c r="ALJ12" s="221"/>
      <c r="ALK12" s="221"/>
      <c r="ALL12" s="221"/>
      <c r="ALM12" s="221"/>
      <c r="ALN12" s="221"/>
      <c r="ALO12" s="221"/>
      <c r="ALP12" s="221"/>
      <c r="ALQ12" s="221"/>
      <c r="ALR12" s="221"/>
      <c r="ALS12" s="221"/>
      <c r="ALT12" s="221"/>
      <c r="ALU12" s="221"/>
      <c r="ALV12" s="221"/>
      <c r="ALW12" s="221"/>
      <c r="ALX12" s="221"/>
      <c r="ALY12" s="221"/>
      <c r="ALZ12" s="221"/>
      <c r="AMA12" s="221"/>
      <c r="AMB12" s="221"/>
      <c r="AMC12" s="221"/>
      <c r="AMD12" s="221"/>
      <c r="AME12" s="221"/>
      <c r="AMF12" s="221"/>
      <c r="AMG12" s="221"/>
      <c r="AMH12" s="221"/>
      <c r="AMI12" s="221"/>
      <c r="AMJ12" s="221"/>
      <c r="AMK12" s="221"/>
      <c r="AML12" s="221" t="s">
        <v>44</v>
      </c>
      <c r="AMM12" s="221"/>
      <c r="AMN12" s="221"/>
      <c r="AMO12" s="221"/>
      <c r="AMP12" s="221"/>
      <c r="AMQ12" s="221"/>
      <c r="AMR12" s="221"/>
      <c r="AMS12" s="221"/>
      <c r="AMT12" s="221"/>
      <c r="AMU12" s="221"/>
      <c r="AMV12" s="221"/>
      <c r="AMW12" s="221"/>
      <c r="AMX12" s="221"/>
      <c r="AMY12" s="221"/>
      <c r="AMZ12" s="221"/>
      <c r="ANA12" s="221"/>
      <c r="ANB12" s="221"/>
      <c r="ANC12" s="221"/>
      <c r="AND12" s="221"/>
      <c r="ANE12" s="221"/>
      <c r="ANF12" s="221"/>
      <c r="ANG12" s="221"/>
      <c r="ANH12" s="221"/>
      <c r="ANI12" s="221"/>
      <c r="ANJ12" s="221"/>
      <c r="ANK12" s="221"/>
      <c r="ANL12" s="221"/>
      <c r="ANM12" s="221"/>
      <c r="ANN12" s="221"/>
      <c r="ANO12" s="221"/>
      <c r="ANP12" s="221"/>
      <c r="ANQ12" s="221"/>
      <c r="ANR12" s="221"/>
      <c r="ANS12" s="221"/>
      <c r="ANT12" s="221"/>
      <c r="ANU12" s="221"/>
      <c r="ANV12" s="221"/>
      <c r="ANW12" s="221"/>
      <c r="ANX12" s="221"/>
      <c r="ANY12" s="221"/>
      <c r="ANZ12" s="221"/>
      <c r="AOA12" s="221"/>
      <c r="AOB12" s="221"/>
      <c r="AOC12" s="221"/>
      <c r="AOD12" s="221"/>
      <c r="AOE12" s="221"/>
      <c r="AOF12" s="221"/>
      <c r="AOG12" s="221"/>
      <c r="AOH12" s="221"/>
      <c r="AOI12" s="221"/>
      <c r="AOJ12" s="221"/>
      <c r="AOK12" s="221"/>
      <c r="AOL12" s="221"/>
      <c r="AOM12" s="221"/>
      <c r="AON12" s="221"/>
      <c r="AOO12" s="221"/>
      <c r="AOP12" s="221"/>
      <c r="AOQ12" s="221"/>
      <c r="AOR12" s="221"/>
      <c r="AOS12" s="221"/>
      <c r="AOT12" s="221" t="s">
        <v>45</v>
      </c>
      <c r="AOU12" s="221"/>
      <c r="AOV12" s="221"/>
      <c r="AOW12" s="221"/>
      <c r="AOX12" s="221"/>
      <c r="AOY12" s="221"/>
      <c r="AOZ12" s="221"/>
      <c r="APA12" s="221"/>
      <c r="APB12" s="221"/>
      <c r="APC12" s="221"/>
      <c r="APD12" s="221"/>
      <c r="APE12" s="221"/>
      <c r="APF12" s="221"/>
      <c r="APG12" s="221"/>
      <c r="APH12" s="221"/>
      <c r="API12" s="221"/>
      <c r="APJ12" s="221"/>
      <c r="APK12" s="221"/>
      <c r="APL12" s="221"/>
      <c r="APM12" s="221"/>
      <c r="APN12" s="221"/>
      <c r="APO12" s="221"/>
      <c r="APP12" s="221"/>
      <c r="APQ12" s="221"/>
      <c r="APR12" s="221"/>
      <c r="APS12" s="221"/>
      <c r="APT12" s="221"/>
      <c r="APU12" s="221"/>
      <c r="APV12" s="221"/>
      <c r="APW12" s="221"/>
      <c r="APX12" s="221"/>
      <c r="APY12" s="221"/>
      <c r="APZ12" s="221"/>
      <c r="AQA12" s="221"/>
      <c r="AQB12" s="221"/>
      <c r="AQC12" s="221"/>
      <c r="AQD12" s="221"/>
      <c r="AQE12" s="221"/>
      <c r="AQF12" s="221"/>
      <c r="AQG12" s="221"/>
      <c r="AQH12" s="221"/>
      <c r="AQI12" s="221"/>
      <c r="AQJ12" s="221"/>
      <c r="AQK12" s="221"/>
      <c r="AQL12" s="221"/>
      <c r="AQM12" s="221"/>
      <c r="AQN12" s="221"/>
      <c r="AQO12" s="221"/>
      <c r="AQP12" s="221"/>
      <c r="AQQ12" s="221"/>
      <c r="AQR12" s="221"/>
      <c r="AQS12" s="221"/>
      <c r="AQT12" s="221"/>
      <c r="AQU12" s="221"/>
      <c r="AQV12" s="221"/>
      <c r="AQW12" s="221"/>
      <c r="AQX12" s="221"/>
      <c r="AQY12" s="221"/>
      <c r="AQZ12" s="221"/>
      <c r="ARA12" s="221"/>
      <c r="ARB12" s="221" t="s">
        <v>44</v>
      </c>
      <c r="ARC12" s="221"/>
      <c r="ARD12" s="221"/>
      <c r="ARE12" s="221"/>
      <c r="ARF12" s="221"/>
      <c r="ARG12" s="221"/>
      <c r="ARH12" s="221"/>
      <c r="ARI12" s="221"/>
      <c r="ARJ12" s="221"/>
      <c r="ARK12" s="221"/>
      <c r="ARL12" s="221"/>
      <c r="ARM12" s="221"/>
      <c r="ARN12" s="221"/>
      <c r="ARO12" s="221"/>
      <c r="ARP12" s="221"/>
      <c r="ARQ12" s="221"/>
      <c r="ARR12" s="221"/>
      <c r="ARS12" s="221"/>
      <c r="ART12" s="221"/>
      <c r="ARU12" s="221"/>
      <c r="ARV12" s="221"/>
      <c r="ARW12" s="221"/>
      <c r="ARX12" s="221"/>
      <c r="ARY12" s="221"/>
      <c r="ARZ12" s="221"/>
      <c r="ASA12" s="221"/>
      <c r="ASB12" s="221"/>
      <c r="ASC12" s="221"/>
      <c r="ASD12" s="221"/>
      <c r="ASE12" s="221"/>
      <c r="ASF12" s="221"/>
      <c r="ASG12" s="221"/>
      <c r="ASH12" s="221"/>
      <c r="ASI12" s="221"/>
      <c r="ASJ12" s="221"/>
      <c r="ASK12" s="221"/>
      <c r="ASL12" s="221"/>
      <c r="ASM12" s="221"/>
      <c r="ASN12" s="221"/>
      <c r="ASO12" s="221"/>
      <c r="ASP12" s="221"/>
      <c r="ASQ12" s="221"/>
      <c r="ASR12" s="221"/>
      <c r="ASS12" s="221"/>
      <c r="AST12" s="221"/>
      <c r="ASU12" s="221"/>
      <c r="ASV12" s="221"/>
      <c r="ASW12" s="221"/>
      <c r="ASX12" s="221"/>
      <c r="ASY12" s="221"/>
      <c r="ASZ12" s="221"/>
      <c r="ATA12" s="221"/>
      <c r="ATB12" s="221"/>
      <c r="ATC12" s="221"/>
      <c r="ATD12" s="221"/>
      <c r="ATE12" s="221"/>
      <c r="ATF12" s="221"/>
      <c r="ATG12" s="221"/>
      <c r="ATH12" s="221"/>
      <c r="ATI12" s="221"/>
      <c r="ATJ12" s="221" t="s">
        <v>45</v>
      </c>
      <c r="ATK12" s="221"/>
      <c r="ATL12" s="221"/>
      <c r="ATM12" s="221"/>
      <c r="ATN12" s="221"/>
      <c r="ATO12" s="221"/>
      <c r="ATP12" s="221"/>
      <c r="ATQ12" s="221"/>
      <c r="ATR12" s="221"/>
      <c r="ATS12" s="221"/>
      <c r="ATT12" s="221"/>
      <c r="ATU12" s="221"/>
      <c r="ATV12" s="221"/>
      <c r="ATW12" s="221"/>
      <c r="ATX12" s="221"/>
      <c r="ATY12" s="221"/>
      <c r="ATZ12" s="221"/>
      <c r="AUA12" s="221"/>
      <c r="AUB12" s="221"/>
      <c r="AUC12" s="221"/>
      <c r="AUD12" s="221"/>
      <c r="AUE12" s="221"/>
      <c r="AUF12" s="221"/>
      <c r="AUG12" s="221"/>
      <c r="AUH12" s="221"/>
      <c r="AUI12" s="221"/>
      <c r="AUJ12" s="221"/>
      <c r="AUK12" s="221"/>
      <c r="AUL12" s="221"/>
      <c r="AUM12" s="221"/>
      <c r="AUN12" s="221"/>
      <c r="AUO12" s="221"/>
      <c r="AUP12" s="221"/>
      <c r="AUQ12" s="221"/>
      <c r="AUR12" s="221"/>
      <c r="AUS12" s="221"/>
      <c r="AUT12" s="221"/>
      <c r="AUU12" s="221"/>
      <c r="AUV12" s="221"/>
      <c r="AUW12" s="221"/>
      <c r="AUX12" s="221"/>
      <c r="AUY12" s="221"/>
      <c r="AUZ12" s="221"/>
      <c r="AVA12" s="221"/>
      <c r="AVB12" s="221"/>
      <c r="AVC12" s="221"/>
      <c r="AVD12" s="221"/>
      <c r="AVE12" s="221"/>
      <c r="AVF12" s="221"/>
      <c r="AVG12" s="221"/>
      <c r="AVH12" s="221"/>
      <c r="AVI12" s="221"/>
      <c r="AVJ12" s="221"/>
      <c r="AVK12" s="221"/>
      <c r="AVL12" s="221"/>
      <c r="AVM12" s="221"/>
      <c r="AVN12" s="221"/>
      <c r="AVO12" s="221"/>
      <c r="AVP12" s="221"/>
      <c r="AVQ12" s="221"/>
      <c r="AVR12" s="221" t="s">
        <v>44</v>
      </c>
      <c r="AVS12" s="221"/>
      <c r="AVT12" s="221"/>
      <c r="AVU12" s="221"/>
      <c r="AVV12" s="221"/>
      <c r="AVW12" s="221"/>
      <c r="AVX12" s="221"/>
      <c r="AVY12" s="221"/>
      <c r="AVZ12" s="221"/>
      <c r="AWA12" s="221"/>
      <c r="AWB12" s="221"/>
      <c r="AWC12" s="221"/>
      <c r="AWD12" s="221"/>
      <c r="AWE12" s="221"/>
      <c r="AWF12" s="221"/>
      <c r="AWG12" s="221"/>
      <c r="AWH12" s="221"/>
      <c r="AWI12" s="221"/>
      <c r="AWJ12" s="221"/>
      <c r="AWK12" s="221"/>
      <c r="AWL12" s="221"/>
      <c r="AWM12" s="221"/>
      <c r="AWN12" s="221"/>
      <c r="AWO12" s="221"/>
      <c r="AWP12" s="221"/>
      <c r="AWQ12" s="221"/>
      <c r="AWR12" s="221"/>
      <c r="AWS12" s="221"/>
      <c r="AWT12" s="221"/>
      <c r="AWU12" s="221"/>
      <c r="AWV12" s="221"/>
      <c r="AWW12" s="221"/>
      <c r="AWX12" s="221"/>
      <c r="AWY12" s="221"/>
      <c r="AWZ12" s="221"/>
      <c r="AXA12" s="221"/>
      <c r="AXB12" s="221"/>
      <c r="AXC12" s="221"/>
      <c r="AXD12" s="221"/>
      <c r="AXE12" s="221"/>
      <c r="AXF12" s="221"/>
      <c r="AXG12" s="221"/>
      <c r="AXH12" s="221"/>
      <c r="AXI12" s="221"/>
      <c r="AXJ12" s="221"/>
      <c r="AXK12" s="221"/>
      <c r="AXL12" s="221"/>
      <c r="AXM12" s="221"/>
      <c r="AXN12" s="221"/>
      <c r="AXO12" s="221"/>
      <c r="AXP12" s="221"/>
      <c r="AXQ12" s="221"/>
      <c r="AXR12" s="221"/>
      <c r="AXS12" s="221"/>
      <c r="AXT12" s="221"/>
      <c r="AXU12" s="221"/>
      <c r="AXV12" s="221"/>
      <c r="AXW12" s="221"/>
      <c r="AXX12" s="221"/>
      <c r="AXY12" s="221"/>
      <c r="AXZ12" s="221" t="s">
        <v>45</v>
      </c>
      <c r="AYA12" s="221"/>
      <c r="AYB12" s="221"/>
      <c r="AYC12" s="221"/>
      <c r="AYD12" s="221"/>
      <c r="AYE12" s="221"/>
      <c r="AYF12" s="221"/>
      <c r="AYG12" s="221"/>
      <c r="AYH12" s="221"/>
      <c r="AYI12" s="221"/>
      <c r="AYJ12" s="221"/>
      <c r="AYK12" s="221"/>
      <c r="AYL12" s="221"/>
      <c r="AYM12" s="221"/>
      <c r="AYN12" s="221"/>
      <c r="AYO12" s="221"/>
      <c r="AYP12" s="221"/>
      <c r="AYQ12" s="221"/>
      <c r="AYR12" s="221"/>
      <c r="AYS12" s="221"/>
      <c r="AYT12" s="221"/>
      <c r="AYU12" s="221"/>
      <c r="AYV12" s="221"/>
      <c r="AYW12" s="221"/>
      <c r="AYX12" s="221"/>
      <c r="AYY12" s="221"/>
      <c r="AYZ12" s="221"/>
      <c r="AZA12" s="221"/>
      <c r="AZB12" s="221"/>
      <c r="AZC12" s="221"/>
      <c r="AZD12" s="221"/>
      <c r="AZE12" s="221"/>
      <c r="AZF12" s="221"/>
      <c r="AZG12" s="221"/>
      <c r="AZH12" s="221"/>
      <c r="AZI12" s="221"/>
      <c r="AZJ12" s="221"/>
      <c r="AZK12" s="221"/>
      <c r="AZL12" s="221"/>
      <c r="AZM12" s="221"/>
      <c r="AZN12" s="221"/>
      <c r="AZO12" s="221"/>
      <c r="AZP12" s="221"/>
      <c r="AZQ12" s="221"/>
      <c r="AZR12" s="221"/>
      <c r="AZS12" s="221"/>
      <c r="AZT12" s="221"/>
      <c r="AZU12" s="221"/>
      <c r="AZV12" s="221"/>
      <c r="AZW12" s="221"/>
      <c r="AZX12" s="221"/>
      <c r="AZY12" s="221"/>
      <c r="AZZ12" s="221"/>
      <c r="BAA12" s="221"/>
      <c r="BAB12" s="221"/>
      <c r="BAC12" s="221"/>
      <c r="BAD12" s="221"/>
      <c r="BAE12" s="221"/>
      <c r="BAF12" s="221"/>
      <c r="BAG12" s="221"/>
      <c r="BAH12" s="221" t="s">
        <v>44</v>
      </c>
      <c r="BAI12" s="221"/>
      <c r="BAJ12" s="221"/>
      <c r="BAK12" s="221"/>
      <c r="BAL12" s="221"/>
      <c r="BAM12" s="221"/>
      <c r="BAN12" s="221"/>
      <c r="BAO12" s="221"/>
      <c r="BAP12" s="221"/>
      <c r="BAQ12" s="221"/>
      <c r="BAR12" s="221"/>
      <c r="BAS12" s="221"/>
      <c r="BAT12" s="221"/>
      <c r="BAU12" s="221"/>
      <c r="BAV12" s="221"/>
      <c r="BAW12" s="221"/>
      <c r="BAX12" s="221"/>
      <c r="BAY12" s="221"/>
      <c r="BAZ12" s="221"/>
      <c r="BBA12" s="221"/>
      <c r="BBB12" s="221"/>
      <c r="BBC12" s="221"/>
      <c r="BBD12" s="221"/>
      <c r="BBE12" s="221"/>
      <c r="BBF12" s="221"/>
      <c r="BBG12" s="221"/>
      <c r="BBH12" s="221"/>
      <c r="BBI12" s="221"/>
      <c r="BBJ12" s="221"/>
      <c r="BBK12" s="221"/>
      <c r="BBL12" s="221"/>
      <c r="BBM12" s="221"/>
      <c r="BBN12" s="221"/>
      <c r="BBO12" s="221"/>
      <c r="BBP12" s="221"/>
      <c r="BBQ12" s="221"/>
      <c r="BBR12" s="221"/>
      <c r="BBS12" s="221"/>
      <c r="BBT12" s="221"/>
      <c r="BBU12" s="221"/>
      <c r="BBV12" s="221"/>
      <c r="BBW12" s="221"/>
      <c r="BBX12" s="221"/>
      <c r="BBY12" s="221"/>
      <c r="BBZ12" s="221"/>
      <c r="BCA12" s="221"/>
      <c r="BCB12" s="221"/>
      <c r="BCC12" s="221"/>
      <c r="BCD12" s="221"/>
      <c r="BCE12" s="221"/>
      <c r="BCF12" s="221"/>
      <c r="BCG12" s="221"/>
      <c r="BCH12" s="221"/>
      <c r="BCI12" s="221"/>
      <c r="BCJ12" s="221"/>
      <c r="BCK12" s="221"/>
      <c r="BCL12" s="221"/>
      <c r="BCM12" s="221"/>
      <c r="BCN12" s="221"/>
      <c r="BCO12" s="221"/>
      <c r="BCP12" s="221" t="s">
        <v>45</v>
      </c>
      <c r="BCQ12" s="221"/>
      <c r="BCR12" s="221"/>
      <c r="BCS12" s="221"/>
      <c r="BCT12" s="221"/>
      <c r="BCU12" s="221"/>
      <c r="BCV12" s="221"/>
      <c r="BCW12" s="221"/>
      <c r="BCX12" s="221"/>
      <c r="BCY12" s="221"/>
      <c r="BCZ12" s="221"/>
      <c r="BDA12" s="221"/>
      <c r="BDB12" s="221"/>
      <c r="BDC12" s="221"/>
      <c r="BDD12" s="221"/>
      <c r="BDE12" s="221"/>
      <c r="BDF12" s="221"/>
      <c r="BDG12" s="221"/>
      <c r="BDH12" s="221"/>
      <c r="BDI12" s="221"/>
      <c r="BDJ12" s="221"/>
      <c r="BDK12" s="221"/>
      <c r="BDL12" s="221"/>
      <c r="BDM12" s="221"/>
      <c r="BDN12" s="221"/>
      <c r="BDO12" s="221"/>
      <c r="BDP12" s="221"/>
      <c r="BDQ12" s="221"/>
      <c r="BDR12" s="221"/>
      <c r="BDS12" s="221"/>
      <c r="BDT12" s="221"/>
      <c r="BDU12" s="221"/>
      <c r="BDV12" s="221"/>
      <c r="BDW12" s="221"/>
      <c r="BDX12" s="221"/>
      <c r="BDY12" s="221"/>
      <c r="BDZ12" s="221"/>
      <c r="BEA12" s="221"/>
      <c r="BEB12" s="221"/>
      <c r="BEC12" s="221"/>
      <c r="BED12" s="221"/>
      <c r="BEE12" s="221"/>
      <c r="BEF12" s="221"/>
      <c r="BEG12" s="221"/>
      <c r="BEH12" s="221"/>
      <c r="BEI12" s="221"/>
      <c r="BEJ12" s="221"/>
      <c r="BEK12" s="221"/>
      <c r="BEL12" s="221"/>
      <c r="BEM12" s="221"/>
      <c r="BEN12" s="221"/>
      <c r="BEO12" s="221"/>
      <c r="BEP12" s="221"/>
      <c r="BEQ12" s="221"/>
      <c r="BER12" s="221"/>
      <c r="BES12" s="221"/>
      <c r="BET12" s="221"/>
      <c r="BEU12" s="221"/>
      <c r="BEV12" s="221"/>
      <c r="BEW12" s="221"/>
      <c r="BEX12" s="221" t="s">
        <v>44</v>
      </c>
      <c r="BEY12" s="221"/>
      <c r="BEZ12" s="221"/>
      <c r="BFA12" s="221"/>
      <c r="BFB12" s="221"/>
      <c r="BFC12" s="221"/>
      <c r="BFD12" s="221"/>
      <c r="BFE12" s="221"/>
      <c r="BFF12" s="221"/>
      <c r="BFG12" s="221"/>
      <c r="BFH12" s="221"/>
      <c r="BFI12" s="221"/>
      <c r="BFJ12" s="221"/>
      <c r="BFK12" s="221"/>
      <c r="BFL12" s="221"/>
      <c r="BFM12" s="221"/>
      <c r="BFN12" s="221"/>
      <c r="BFO12" s="221"/>
      <c r="BFP12" s="221"/>
      <c r="BFQ12" s="221"/>
      <c r="BFR12" s="221"/>
      <c r="BFS12" s="221"/>
      <c r="BFT12" s="221"/>
      <c r="BFU12" s="221"/>
      <c r="BFV12" s="221"/>
      <c r="BFW12" s="221"/>
      <c r="BFX12" s="221"/>
      <c r="BFY12" s="221"/>
      <c r="BFZ12" s="221"/>
      <c r="BGA12" s="221"/>
      <c r="BGB12" s="221"/>
      <c r="BGC12" s="221"/>
      <c r="BGD12" s="221"/>
      <c r="BGE12" s="221"/>
      <c r="BGF12" s="221"/>
      <c r="BGG12" s="221"/>
      <c r="BGH12" s="221"/>
      <c r="BGI12" s="221"/>
      <c r="BGJ12" s="221"/>
      <c r="BGK12" s="221"/>
      <c r="BGL12" s="221"/>
      <c r="BGM12" s="221"/>
      <c r="BGN12" s="221"/>
      <c r="BGO12" s="221"/>
      <c r="BGP12" s="221"/>
      <c r="BGQ12" s="221"/>
      <c r="BGR12" s="221"/>
      <c r="BGS12" s="221"/>
      <c r="BGT12" s="221"/>
      <c r="BGU12" s="221"/>
      <c r="BGV12" s="221"/>
      <c r="BGW12" s="221"/>
      <c r="BGX12" s="221"/>
      <c r="BGY12" s="221"/>
      <c r="BGZ12" s="221"/>
      <c r="BHA12" s="221"/>
      <c r="BHB12" s="221"/>
      <c r="BHC12" s="221"/>
      <c r="BHD12" s="221"/>
      <c r="BHE12" s="221"/>
      <c r="BHF12" s="221" t="s">
        <v>45</v>
      </c>
      <c r="BHG12" s="221"/>
      <c r="BHH12" s="221"/>
      <c r="BHI12" s="221"/>
      <c r="BHJ12" s="221"/>
      <c r="BHK12" s="221"/>
      <c r="BHL12" s="221"/>
      <c r="BHM12" s="221"/>
      <c r="BHN12" s="221"/>
      <c r="BHO12" s="221"/>
      <c r="BHP12" s="221"/>
      <c r="BHQ12" s="221"/>
      <c r="BHR12" s="221"/>
      <c r="BHS12" s="221"/>
      <c r="BHT12" s="221"/>
      <c r="BHU12" s="221"/>
      <c r="BHV12" s="221"/>
      <c r="BHW12" s="221"/>
      <c r="BHX12" s="221"/>
      <c r="BHY12" s="221"/>
      <c r="BHZ12" s="221"/>
      <c r="BIA12" s="221"/>
      <c r="BIB12" s="221"/>
      <c r="BIC12" s="221"/>
      <c r="BID12" s="221"/>
      <c r="BIE12" s="221"/>
      <c r="BIF12" s="221"/>
      <c r="BIG12" s="221"/>
      <c r="BIH12" s="221"/>
      <c r="BII12" s="221"/>
      <c r="BIJ12" s="221"/>
      <c r="BIK12" s="221"/>
      <c r="BIL12" s="221"/>
      <c r="BIM12" s="221"/>
      <c r="BIN12" s="221"/>
      <c r="BIO12" s="221"/>
      <c r="BIP12" s="221"/>
      <c r="BIQ12" s="221"/>
      <c r="BIR12" s="221"/>
      <c r="BIS12" s="221"/>
      <c r="BIT12" s="221"/>
      <c r="BIU12" s="221"/>
      <c r="BIV12" s="221"/>
      <c r="BIW12" s="221"/>
      <c r="BIX12" s="221"/>
      <c r="BIY12" s="221"/>
      <c r="BIZ12" s="221"/>
      <c r="BJA12" s="221"/>
      <c r="BJB12" s="221"/>
      <c r="BJC12" s="221"/>
      <c r="BJD12" s="221"/>
      <c r="BJE12" s="221"/>
      <c r="BJF12" s="221"/>
      <c r="BJG12" s="221"/>
      <c r="BJH12" s="221"/>
      <c r="BJI12" s="221"/>
      <c r="BJJ12" s="221"/>
      <c r="BJK12" s="221"/>
      <c r="BJL12" s="221"/>
      <c r="BJM12" s="221"/>
      <c r="BJN12" s="221" t="s">
        <v>44</v>
      </c>
      <c r="BJO12" s="221"/>
      <c r="BJP12" s="221"/>
      <c r="BJQ12" s="221"/>
      <c r="BJR12" s="221"/>
      <c r="BJS12" s="221"/>
      <c r="BJT12" s="221"/>
      <c r="BJU12" s="221"/>
      <c r="BJV12" s="221"/>
      <c r="BJW12" s="221"/>
      <c r="BJX12" s="221"/>
      <c r="BJY12" s="221"/>
      <c r="BJZ12" s="221"/>
      <c r="BKA12" s="221"/>
      <c r="BKB12" s="221"/>
      <c r="BKC12" s="221"/>
      <c r="BKD12" s="221"/>
      <c r="BKE12" s="221"/>
      <c r="BKF12" s="221"/>
      <c r="BKG12" s="221"/>
      <c r="BKH12" s="221"/>
      <c r="BKI12" s="221"/>
      <c r="BKJ12" s="221"/>
      <c r="BKK12" s="221"/>
      <c r="BKL12" s="221"/>
      <c r="BKM12" s="221"/>
      <c r="BKN12" s="221"/>
      <c r="BKO12" s="221"/>
      <c r="BKP12" s="221"/>
      <c r="BKQ12" s="221"/>
      <c r="BKR12" s="221"/>
      <c r="BKS12" s="221"/>
      <c r="BKT12" s="221"/>
      <c r="BKU12" s="221"/>
      <c r="BKV12" s="221"/>
      <c r="BKW12" s="221"/>
      <c r="BKX12" s="221"/>
      <c r="BKY12" s="221"/>
      <c r="BKZ12" s="221"/>
      <c r="BLA12" s="221"/>
      <c r="BLB12" s="221"/>
      <c r="BLC12" s="221"/>
      <c r="BLD12" s="221"/>
      <c r="BLE12" s="221"/>
      <c r="BLF12" s="221"/>
      <c r="BLG12" s="221"/>
      <c r="BLH12" s="221"/>
      <c r="BLI12" s="221"/>
      <c r="BLJ12" s="221"/>
      <c r="BLK12" s="221"/>
      <c r="BLL12" s="221"/>
      <c r="BLM12" s="221"/>
      <c r="BLN12" s="221"/>
      <c r="BLO12" s="221"/>
      <c r="BLP12" s="221"/>
      <c r="BLQ12" s="221"/>
      <c r="BLR12" s="221"/>
      <c r="BLS12" s="221"/>
      <c r="BLT12" s="221"/>
      <c r="BLU12" s="221"/>
    </row>
    <row r="13" spans="1:1744" ht="42.75" customHeight="1" thickBot="1" x14ac:dyDescent="0.3">
      <c r="B13" s="96"/>
      <c r="C13" s="226" t="s">
        <v>7</v>
      </c>
      <c r="D13" s="144"/>
      <c r="E13" s="228" t="s">
        <v>38</v>
      </c>
      <c r="F13" s="222" t="s">
        <v>8</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27</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18</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84</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82</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80</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79</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77</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76</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74</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73</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71</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69</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68</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66</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65</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64</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63</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62</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60</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59</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57</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56</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54</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53</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51</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222" t="s">
        <v>50</v>
      </c>
      <c r="BHG13" s="223"/>
      <c r="BHH13" s="223"/>
      <c r="BHI13" s="223"/>
      <c r="BHJ13" s="223"/>
      <c r="BHK13" s="223"/>
      <c r="BHL13" s="223"/>
      <c r="BHM13" s="223"/>
      <c r="BHN13" s="223"/>
      <c r="BHO13" s="223"/>
      <c r="BHP13" s="223"/>
      <c r="BHQ13" s="223"/>
      <c r="BHR13" s="223"/>
      <c r="BHS13" s="223"/>
      <c r="BHT13" s="223"/>
      <c r="BHU13" s="223"/>
      <c r="BHV13" s="223"/>
      <c r="BHW13" s="223"/>
      <c r="BHX13" s="223"/>
      <c r="BHY13" s="223"/>
      <c r="BHZ13" s="223"/>
      <c r="BIA13" s="223"/>
      <c r="BIB13" s="223"/>
      <c r="BIC13" s="223"/>
      <c r="BID13" s="223"/>
      <c r="BIE13" s="223"/>
      <c r="BIF13" s="223"/>
      <c r="BIG13" s="223"/>
      <c r="BIH13" s="223"/>
      <c r="BII13" s="223"/>
      <c r="BIJ13" s="223"/>
      <c r="BIK13" s="223"/>
      <c r="BIL13" s="223"/>
      <c r="BIM13" s="223"/>
      <c r="BIN13" s="223"/>
      <c r="BIO13" s="223"/>
      <c r="BIP13" s="223"/>
      <c r="BIQ13" s="223"/>
      <c r="BIR13" s="223"/>
      <c r="BIS13" s="223"/>
      <c r="BIT13" s="223"/>
      <c r="BIU13" s="223"/>
      <c r="BIV13" s="223"/>
      <c r="BIW13" s="223"/>
      <c r="BIX13" s="223"/>
      <c r="BIY13" s="223"/>
      <c r="BIZ13" s="223"/>
      <c r="BJA13" s="223"/>
      <c r="BJB13" s="223"/>
      <c r="BJC13" s="223"/>
      <c r="BJD13" s="223"/>
      <c r="BJE13" s="223"/>
      <c r="BJF13" s="223"/>
      <c r="BJG13" s="223"/>
      <c r="BJH13" s="223"/>
      <c r="BJI13" s="223"/>
      <c r="BJJ13" s="223"/>
      <c r="BJK13" s="223"/>
      <c r="BJL13" s="223"/>
      <c r="BJM13" s="224"/>
      <c r="BJN13" s="222" t="s">
        <v>49</v>
      </c>
      <c r="BJO13" s="223"/>
      <c r="BJP13" s="223"/>
      <c r="BJQ13" s="223"/>
      <c r="BJR13" s="223"/>
      <c r="BJS13" s="223"/>
      <c r="BJT13" s="223"/>
      <c r="BJU13" s="223"/>
      <c r="BJV13" s="223"/>
      <c r="BJW13" s="223"/>
      <c r="BJX13" s="223"/>
      <c r="BJY13" s="223"/>
      <c r="BJZ13" s="223"/>
      <c r="BKA13" s="223"/>
      <c r="BKB13" s="223"/>
      <c r="BKC13" s="223"/>
      <c r="BKD13" s="223"/>
      <c r="BKE13" s="223"/>
      <c r="BKF13" s="223"/>
      <c r="BKG13" s="223"/>
      <c r="BKH13" s="223"/>
      <c r="BKI13" s="223"/>
      <c r="BKJ13" s="223"/>
      <c r="BKK13" s="223"/>
      <c r="BKL13" s="223"/>
      <c r="BKM13" s="223"/>
      <c r="BKN13" s="223"/>
      <c r="BKO13" s="223"/>
      <c r="BKP13" s="223"/>
      <c r="BKQ13" s="223"/>
      <c r="BKR13" s="223"/>
      <c r="BKS13" s="223"/>
      <c r="BKT13" s="223"/>
      <c r="BKU13" s="223"/>
      <c r="BKV13" s="223"/>
      <c r="BKW13" s="223"/>
      <c r="BKX13" s="223"/>
      <c r="BKY13" s="223"/>
      <c r="BKZ13" s="223"/>
      <c r="BLA13" s="223"/>
      <c r="BLB13" s="223"/>
      <c r="BLC13" s="223"/>
      <c r="BLD13" s="223"/>
      <c r="BLE13" s="223"/>
      <c r="BLF13" s="223"/>
      <c r="BLG13" s="223"/>
      <c r="BLH13" s="223"/>
      <c r="BLI13" s="223"/>
      <c r="BLJ13" s="223"/>
      <c r="BLK13" s="223"/>
      <c r="BLL13" s="223"/>
      <c r="BLM13" s="223"/>
      <c r="BLN13" s="223"/>
      <c r="BLO13" s="223"/>
      <c r="BLP13" s="223"/>
      <c r="BLQ13" s="223"/>
      <c r="BLR13" s="223"/>
      <c r="BLS13" s="223"/>
      <c r="BLT13" s="223"/>
      <c r="BLU13" s="224"/>
    </row>
    <row r="14" spans="1:1744" ht="12.75" customHeight="1" thickBot="1" x14ac:dyDescent="0.35">
      <c r="B14" s="96"/>
      <c r="C14" s="227"/>
      <c r="D14" s="145"/>
      <c r="E14" s="229"/>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0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1"/>
      <c r="D16" s="147" t="str">
        <f t="shared" ref="D16:D79" si="0">setValueToTime(E16)</f>
        <v>7h30min</v>
      </c>
      <c r="E16" s="35">
        <v>90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197"/>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1"/>
      <c r="D18" s="148" t="str">
        <f t="shared" si="0"/>
        <v>1h30min</v>
      </c>
      <c r="E18" s="35">
        <v>18</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190"/>
      <c r="ANU18" s="193"/>
      <c r="ANV18" s="190"/>
      <c r="ANW18" s="190"/>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190"/>
      <c r="ASM18" s="190"/>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4"/>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195"/>
      <c r="ACI20" s="195"/>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195"/>
      <c r="AJG20" s="195"/>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195"/>
      <c r="ASK20" s="19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4"/>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4"/>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1"/>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1"/>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1"/>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4"/>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1"/>
      <c r="D34" s="148" t="str">
        <f t="shared" si="0"/>
        <v>8h40min</v>
      </c>
      <c r="E34" s="35">
        <v>104</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188"/>
      <c r="AHW34" s="189"/>
      <c r="AHX34" s="189"/>
      <c r="AHY34" s="189"/>
      <c r="AHZ34" s="190"/>
      <c r="AIA34" s="191"/>
      <c r="AIB34" s="190"/>
      <c r="AIC34" s="190"/>
      <c r="AID34" s="190"/>
      <c r="AIE34" s="190"/>
      <c r="AIF34" s="190"/>
      <c r="AIG34" s="193"/>
      <c r="AIH34" s="190"/>
      <c r="AII34" s="190"/>
      <c r="AIJ34" s="190"/>
      <c r="AIK34" s="190"/>
      <c r="AIL34" s="190"/>
      <c r="AIM34" s="194"/>
      <c r="AIN34" s="190"/>
      <c r="AIO34" s="190"/>
      <c r="AIP34" s="190"/>
      <c r="AIQ34" s="190"/>
      <c r="AIR34" s="190"/>
      <c r="AIS34" s="193"/>
      <c r="AIT34" s="190"/>
      <c r="AIU34" s="190"/>
      <c r="AIV34" s="190"/>
      <c r="AIW34" s="190"/>
      <c r="AIX34" s="190"/>
      <c r="AIY34" s="194"/>
      <c r="AIZ34" s="189"/>
      <c r="AJA34" s="189"/>
      <c r="AJB34" s="189"/>
      <c r="AJC34" s="189"/>
      <c r="AJD34" s="190"/>
      <c r="AJE34" s="193"/>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190"/>
      <c r="API34" s="190"/>
      <c r="APJ34" s="190"/>
      <c r="APK34" s="194"/>
      <c r="APL34" s="190"/>
      <c r="APM34" s="190"/>
      <c r="APN34" s="190"/>
      <c r="APO34" s="190"/>
      <c r="APP34" s="190"/>
      <c r="APQ34" s="193"/>
      <c r="APR34" s="190"/>
      <c r="APS34" s="190"/>
      <c r="APT34" s="190"/>
      <c r="APU34" s="190"/>
      <c r="APV34" s="190"/>
      <c r="APW34" s="194"/>
      <c r="APX34" s="189"/>
      <c r="APY34" s="189"/>
      <c r="APZ34" s="189"/>
      <c r="AQA34" s="189"/>
      <c r="AQB34" s="190"/>
      <c r="AQC34" s="193"/>
      <c r="AQD34" s="190"/>
      <c r="AQE34" s="190"/>
      <c r="AQF34" s="190"/>
      <c r="AQG34" s="190"/>
      <c r="AQH34" s="190"/>
      <c r="AQI34" s="194"/>
      <c r="AQJ34" s="190"/>
      <c r="AQK34" s="190"/>
      <c r="AQL34" s="190"/>
      <c r="AQM34" s="190"/>
      <c r="AQN34" s="190"/>
      <c r="AQO34" s="193"/>
      <c r="AQP34" s="37"/>
      <c r="AQQ34" s="37"/>
      <c r="AQR34" s="37"/>
      <c r="AQS34" s="37"/>
      <c r="AQT34" s="37"/>
      <c r="AQU34" s="75"/>
      <c r="AQV34" s="37"/>
      <c r="AQW34" s="37"/>
      <c r="AQX34" s="37"/>
      <c r="AQY34" s="37"/>
      <c r="AQZ34" s="37"/>
      <c r="ARA34" s="38"/>
      <c r="ARB34" s="188"/>
      <c r="ARC34" s="189"/>
      <c r="ARD34" s="189"/>
      <c r="ARE34" s="189"/>
      <c r="ARF34" s="190"/>
      <c r="ARG34" s="191"/>
      <c r="ARH34" s="190"/>
      <c r="ARI34" s="190"/>
      <c r="ARJ34" s="190"/>
      <c r="ARK34" s="190"/>
      <c r="ARL34" s="190"/>
      <c r="ARM34" s="193"/>
      <c r="ARN34" s="190"/>
      <c r="ARO34" s="190"/>
      <c r="ARP34" s="190"/>
      <c r="ARQ34" s="190"/>
      <c r="ARR34" s="190"/>
      <c r="ARS34" s="194"/>
      <c r="ART34" s="190"/>
      <c r="ARU34" s="190"/>
      <c r="ARV34" s="190"/>
      <c r="ARW34" s="190"/>
      <c r="ARX34" s="190"/>
      <c r="ARY34" s="193"/>
      <c r="ARZ34" s="190"/>
      <c r="ASA34" s="190"/>
      <c r="ASB34" s="190"/>
      <c r="ASC34" s="190"/>
      <c r="ASD34" s="190"/>
      <c r="ASE34" s="194"/>
      <c r="ASF34" s="189"/>
      <c r="ASG34" s="189"/>
      <c r="ASH34" s="189"/>
      <c r="ASI34" s="189"/>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4"/>
      <c r="D36" s="147" t="str">
        <f t="shared" si="0"/>
        <v>6h25min</v>
      </c>
      <c r="E36" s="27">
        <v>77</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197"/>
      <c r="AKE36" s="198"/>
      <c r="AKF36" s="198"/>
      <c r="AKG36" s="198"/>
      <c r="AKH36" s="195"/>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1"/>
      <c r="D38" s="148" t="str">
        <f t="shared" si="0"/>
        <v>5h30min</v>
      </c>
      <c r="E38" s="35">
        <v>66</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189"/>
      <c r="AMN38" s="189"/>
      <c r="AMO38" s="189"/>
      <c r="AMP38" s="190"/>
      <c r="AMQ38" s="191"/>
      <c r="AMR38" s="190"/>
      <c r="AMS38" s="190"/>
      <c r="AMT38" s="190"/>
      <c r="AMU38" s="190"/>
      <c r="AMV38" s="190"/>
      <c r="AMW38" s="193"/>
      <c r="AMX38" s="190"/>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4"/>
      <c r="D40" s="147" t="str">
        <f t="shared" si="0"/>
        <v>1h</v>
      </c>
      <c r="E40" s="27">
        <v>12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195"/>
      <c r="ZQ40" s="195"/>
      <c r="ZR40" s="195"/>
      <c r="ZS40" s="200"/>
      <c r="ZT40" s="198"/>
      <c r="ZU40" s="198"/>
      <c r="ZV40" s="198"/>
      <c r="ZW40" s="198"/>
      <c r="ZX40" s="195"/>
      <c r="ZY40" s="196"/>
      <c r="ZZ40" s="195"/>
      <c r="AAA40" s="195"/>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4"/>
      <c r="D42" s="148" t="str">
        <f t="shared" si="0"/>
        <v>1h25min</v>
      </c>
      <c r="E42" s="35">
        <v>17</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190"/>
      <c r="WP42" s="190"/>
      <c r="WQ42" s="190"/>
      <c r="WR42" s="190"/>
      <c r="WS42" s="193"/>
      <c r="WT42" s="190"/>
      <c r="WU42" s="190"/>
      <c r="WV42" s="190"/>
      <c r="WW42" s="190"/>
      <c r="WX42" s="190"/>
      <c r="WY42" s="194"/>
      <c r="WZ42" s="190"/>
      <c r="XA42" s="190"/>
      <c r="XB42" s="190"/>
      <c r="XC42" s="190"/>
      <c r="XD42" s="190"/>
      <c r="XE42" s="193"/>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1"/>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4"/>
      <c r="D48" s="148" t="str">
        <f t="shared" si="0"/>
        <v>1h40min</v>
      </c>
      <c r="E48" s="27">
        <v>20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195"/>
      <c r="XG48" s="195"/>
      <c r="XH48" s="195"/>
      <c r="XI48" s="195"/>
      <c r="XJ48" s="195"/>
      <c r="XK48" s="200"/>
      <c r="XL48" s="198"/>
      <c r="XM48" s="198"/>
      <c r="XN48" s="198"/>
      <c r="XO48" s="198"/>
      <c r="XP48" s="195"/>
      <c r="XQ48" s="196"/>
      <c r="XR48" s="195"/>
      <c r="XS48" s="195"/>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1"/>
      <c r="D50" s="148" t="str">
        <f t="shared" si="0"/>
        <v>1h20min</v>
      </c>
      <c r="E50" s="35">
        <v>16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188"/>
      <c r="YQ50" s="189"/>
      <c r="YR50" s="189"/>
      <c r="YS50" s="189"/>
      <c r="YT50" s="190"/>
      <c r="YU50" s="191"/>
      <c r="YV50" s="190"/>
      <c r="YW50" s="190"/>
      <c r="YX50" s="190"/>
      <c r="YY50" s="190"/>
      <c r="YZ50" s="190"/>
      <c r="ZA50" s="193"/>
      <c r="ZB50" s="190"/>
      <c r="ZC50" s="190"/>
      <c r="ZD50" s="190"/>
      <c r="ZE50" s="190"/>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4"/>
      <c r="D52" s="147" t="str">
        <f t="shared" si="0"/>
        <v>1h20min</v>
      </c>
      <c r="E52" s="27">
        <v>16</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195"/>
      <c r="ZG52" s="194"/>
      <c r="ZH52" s="195"/>
      <c r="ZI52" s="195"/>
      <c r="ZJ52" s="195"/>
      <c r="ZK52" s="195"/>
      <c r="ZL52" s="195"/>
      <c r="ZM52" s="196"/>
      <c r="ZN52" s="195"/>
      <c r="ZO52" s="195"/>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197"/>
      <c r="AAY52" s="198"/>
      <c r="AAZ52" s="198"/>
      <c r="ABA52" s="198"/>
      <c r="ABB52" s="195"/>
      <c r="ABC52" s="199"/>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1"/>
      <c r="D54" s="148" t="str">
        <f t="shared" si="0"/>
        <v>5h25min</v>
      </c>
      <c r="E54" s="35">
        <v>65</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190"/>
      <c r="ABE54" s="190"/>
      <c r="ABF54" s="190"/>
      <c r="ABG54" s="190"/>
      <c r="ABH54" s="190"/>
      <c r="ABI54" s="193"/>
      <c r="ABJ54" s="190"/>
      <c r="ABK54" s="190"/>
      <c r="ABL54" s="190"/>
      <c r="ABM54" s="190"/>
      <c r="ABN54" s="190"/>
      <c r="ABO54" s="194"/>
      <c r="ABP54" s="190"/>
      <c r="ABQ54" s="190"/>
      <c r="ABR54" s="190"/>
      <c r="ABS54" s="190"/>
      <c r="ABT54" s="190"/>
      <c r="ABU54" s="193"/>
      <c r="ABV54" s="190"/>
      <c r="ABW54" s="190"/>
      <c r="ABX54" s="190"/>
      <c r="ABY54" s="190"/>
      <c r="ABZ54" s="190"/>
      <c r="ACA54" s="194"/>
      <c r="ACB54" s="189"/>
      <c r="ACC54" s="189"/>
      <c r="ACD54" s="189"/>
      <c r="ACE54" s="189"/>
      <c r="ACF54" s="190"/>
      <c r="ACG54" s="193"/>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188"/>
      <c r="ADG54" s="189"/>
      <c r="ADH54" s="189"/>
      <c r="ADI54" s="189"/>
      <c r="ADJ54" s="190"/>
      <c r="ADK54" s="191"/>
      <c r="ADL54" s="190"/>
      <c r="ADM54" s="190"/>
      <c r="ADN54" s="190"/>
      <c r="ADO54" s="190"/>
      <c r="ADP54" s="190"/>
      <c r="ADQ54" s="193"/>
      <c r="ADR54" s="190"/>
      <c r="ADS54" s="190"/>
      <c r="ADT54" s="190"/>
      <c r="ADU54" s="190"/>
      <c r="ADV54" s="190"/>
      <c r="ADW54" s="194"/>
      <c r="ADX54" s="190"/>
      <c r="ADY54" s="190"/>
      <c r="ADZ54" s="190"/>
      <c r="AEA54" s="190"/>
      <c r="AEB54" s="190"/>
      <c r="AEC54" s="193"/>
      <c r="AED54" s="190"/>
      <c r="AEE54" s="190"/>
      <c r="AEF54" s="190"/>
      <c r="AEG54" s="190"/>
      <c r="AEH54" s="190"/>
      <c r="AEI54" s="194"/>
      <c r="AEJ54" s="189"/>
      <c r="AEK54" s="189"/>
      <c r="AEL54" s="189"/>
      <c r="AEM54" s="189"/>
      <c r="AEN54" s="190"/>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4"/>
      <c r="D56" s="147" t="str">
        <f t="shared" si="0"/>
        <v>1h15min</v>
      </c>
      <c r="E56" s="27">
        <v>15</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197"/>
      <c r="AFO56" s="198"/>
      <c r="AFP56" s="198"/>
      <c r="AFQ56" s="198"/>
      <c r="AFR56" s="195"/>
      <c r="AFS56" s="199"/>
      <c r="AFT56" s="195"/>
      <c r="AFU56" s="195"/>
      <c r="AFV56" s="195"/>
      <c r="AFW56" s="195"/>
      <c r="AFX56" s="195"/>
      <c r="AFY56" s="196"/>
      <c r="AFZ56" s="195"/>
      <c r="AGA56" s="195"/>
      <c r="AGB56" s="195"/>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4"/>
      <c r="D58" s="148" t="str">
        <f t="shared" si="0"/>
        <v>3h</v>
      </c>
      <c r="E58" s="35">
        <v>36</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93"/>
      <c r="AEP58" s="190"/>
      <c r="AEQ58" s="190"/>
      <c r="AER58" s="190"/>
      <c r="AES58" s="190"/>
      <c r="AET58" s="190"/>
      <c r="AEU58" s="194"/>
      <c r="AEV58" s="190"/>
      <c r="AEW58" s="190"/>
      <c r="AEX58" s="190"/>
      <c r="AEY58" s="190"/>
      <c r="AEZ58" s="190"/>
      <c r="AFA58" s="193"/>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190"/>
      <c r="AGD58" s="190"/>
      <c r="AGE58" s="194"/>
      <c r="AGF58" s="190"/>
      <c r="AGG58" s="190"/>
      <c r="AGH58" s="190"/>
      <c r="AGI58" s="190"/>
      <c r="AGJ58" s="190"/>
      <c r="AGK58" s="193"/>
      <c r="AGL58" s="190"/>
      <c r="AGM58" s="190"/>
      <c r="AGN58" s="190"/>
      <c r="AGO58" s="190"/>
      <c r="AGP58" s="190"/>
      <c r="AGQ58" s="194"/>
      <c r="AGR58" s="189"/>
      <c r="AGS58" s="189"/>
      <c r="AGT58" s="189"/>
      <c r="AGU58" s="189"/>
      <c r="AGV58" s="190"/>
      <c r="AGW58" s="193"/>
      <c r="AGX58" s="190"/>
      <c r="AGY58" s="190"/>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4"/>
      <c r="D68" s="147" t="str">
        <f t="shared" si="0"/>
        <v>3h35min</v>
      </c>
      <c r="E68" s="27">
        <v>43</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99"/>
      <c r="AKJ68" s="195"/>
      <c r="AKK68" s="195"/>
      <c r="AKL68" s="195"/>
      <c r="AKM68" s="195"/>
      <c r="AKN68" s="195"/>
      <c r="AKO68" s="196"/>
      <c r="AKP68" s="195"/>
      <c r="AKQ68" s="195"/>
      <c r="AKR68" s="195"/>
      <c r="AKS68" s="195"/>
      <c r="AKT68" s="195"/>
      <c r="AKU68" s="200"/>
      <c r="AKV68" s="195"/>
      <c r="AKW68" s="195"/>
      <c r="AKX68" s="195"/>
      <c r="AKY68" s="195"/>
      <c r="AKZ68" s="195"/>
      <c r="ALA68" s="196"/>
      <c r="ALB68" s="195"/>
      <c r="ALC68" s="195"/>
      <c r="ALD68" s="195"/>
      <c r="ALE68" s="195"/>
      <c r="ALF68" s="195"/>
      <c r="ALG68" s="200"/>
      <c r="ALH68" s="198"/>
      <c r="ALI68" s="198"/>
      <c r="ALJ68" s="198"/>
      <c r="ALK68" s="198"/>
      <c r="ALL68" s="195"/>
      <c r="ALM68" s="196"/>
      <c r="ALN68" s="195"/>
      <c r="ALO68" s="195"/>
      <c r="ALP68" s="195"/>
      <c r="ALQ68" s="195"/>
      <c r="ALR68" s="195"/>
      <c r="ALS68" s="200"/>
      <c r="ALT68" s="195"/>
      <c r="ALU68" s="195"/>
      <c r="ALV68" s="195"/>
      <c r="ALW68" s="195"/>
      <c r="ALX68" s="195"/>
      <c r="ALY68" s="19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4"/>
      <c r="D70" s="148" t="str">
        <f t="shared" si="0"/>
        <v>2h30min</v>
      </c>
      <c r="E70" s="35">
        <v>30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190"/>
      <c r="AMZ70" s="190"/>
      <c r="ANA70" s="190"/>
      <c r="ANB70" s="190"/>
      <c r="ANC70" s="194"/>
      <c r="AND70" s="190"/>
      <c r="ANE70" s="190"/>
      <c r="ANF70" s="190"/>
      <c r="ANG70" s="190"/>
      <c r="ANH70" s="190"/>
      <c r="ANI70" s="193"/>
      <c r="ANJ70" s="190"/>
      <c r="ANK70" s="190"/>
      <c r="ANL70" s="190"/>
      <c r="ANM70" s="190"/>
      <c r="ANN70" s="190"/>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188"/>
      <c r="AOU70" s="189"/>
      <c r="AOV70" s="189"/>
      <c r="AOW70" s="189"/>
      <c r="AOX70" s="190"/>
      <c r="AOY70" s="191"/>
      <c r="AOZ70" s="190"/>
      <c r="APA70" s="190"/>
      <c r="APB70" s="190"/>
      <c r="APC70" s="190"/>
      <c r="APD70" s="190"/>
      <c r="APE70" s="193"/>
      <c r="APF70" s="190"/>
      <c r="APG70" s="190"/>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4"/>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4"/>
      <c r="D76" s="148" t="str">
        <f t="shared" si="0"/>
        <v>0h25min</v>
      </c>
      <c r="E76" s="35">
        <v>5</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194"/>
      <c r="ANP76" s="189"/>
      <c r="ANQ76" s="189"/>
      <c r="ANR76" s="189"/>
      <c r="ANS76" s="189"/>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12" t="s">
        <v>9</v>
      </c>
      <c r="D95" s="213"/>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14"/>
      <c r="D96" s="215"/>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05" t="s">
        <v>10</v>
      </c>
      <c r="D97" s="206"/>
      <c r="E97" s="118">
        <f>SUM(E16,E18,E20,E22,E24,E26,E28,E30,E32,E34,E36,E38,E40,E42,E44,E46,E48,E50,E52,E54,E56,E58,E60,E62,E64,E66,E68,E70,E72,E74,E76,E78,E80,E82,E84,E86,E88,E90,E92,E94)</f>
        <v>791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07"/>
      <c r="D98" s="208"/>
      <c r="E98" s="122" t="str">
        <f xml:space="preserve"> setValueToTime(E97)</f>
        <v>65h55min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156"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7" t="s">
        <v>15</v>
      </c>
      <c r="F3" s="238"/>
      <c r="G3" s="46"/>
    </row>
    <row r="4" spans="1:7" s="52" customFormat="1" ht="27.75" thickBot="1" x14ac:dyDescent="0.35">
      <c r="A4" s="192" t="s">
        <v>121</v>
      </c>
      <c r="B4" s="54">
        <v>12</v>
      </c>
      <c r="C4" s="152" t="str">
        <f xml:space="preserve"> IF(B4="","",setValueToTime(B4))</f>
        <v>1h</v>
      </c>
      <c r="D4" s="165" t="s">
        <v>133</v>
      </c>
      <c r="E4" s="239"/>
      <c r="F4" s="240"/>
      <c r="G4" s="51"/>
    </row>
    <row r="5" spans="1:7" s="52" customFormat="1" ht="15" thickBot="1" x14ac:dyDescent="0.35">
      <c r="A5" s="111" t="s">
        <v>28</v>
      </c>
      <c r="B5" s="84">
        <f>SUM(B4:B4)</f>
        <v>12</v>
      </c>
      <c r="C5" s="111" t="str">
        <f xml:space="preserve"> setValueToTime(B5)</f>
        <v>1h</v>
      </c>
      <c r="D5" s="120"/>
      <c r="E5" s="235"/>
      <c r="F5" s="236"/>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7" t="s">
        <v>15</v>
      </c>
      <c r="F8" s="238"/>
      <c r="G8" s="46"/>
    </row>
    <row r="9" spans="1:7" s="52" customFormat="1" ht="27" x14ac:dyDescent="0.3">
      <c r="A9" s="48" t="s">
        <v>94</v>
      </c>
      <c r="B9" s="49">
        <v>37</v>
      </c>
      <c r="C9" s="152" t="str">
        <f xml:space="preserve"> IF(B9="","",setValueToTime(B9))</f>
        <v>3h5min</v>
      </c>
      <c r="D9" s="165" t="s">
        <v>160</v>
      </c>
      <c r="E9" s="239"/>
      <c r="F9" s="240"/>
      <c r="G9" s="51"/>
    </row>
    <row r="10" spans="1:7" s="52" customFormat="1" ht="15" thickBot="1" x14ac:dyDescent="0.35">
      <c r="A10" s="53" t="s">
        <v>93</v>
      </c>
      <c r="B10" s="54">
        <v>1</v>
      </c>
      <c r="C10" s="155" t="str">
        <f t="shared" ref="C10" si="0" xml:space="preserve"> IF(B10="","",setValueToTime(B10))</f>
        <v>0h5min</v>
      </c>
      <c r="D10" s="166" t="s">
        <v>118</v>
      </c>
      <c r="E10" s="243"/>
      <c r="F10" s="244"/>
      <c r="G10" s="51"/>
    </row>
    <row r="11" spans="1:7" s="52" customFormat="1" ht="15" thickBot="1" x14ac:dyDescent="0.35">
      <c r="A11" s="111" t="s">
        <v>28</v>
      </c>
      <c r="B11" s="84">
        <f>SUM(B9:B10)</f>
        <v>38</v>
      </c>
      <c r="C11" s="111" t="str">
        <f xml:space="preserve"> setValueToTime(B11)</f>
        <v>3h10min</v>
      </c>
      <c r="D11" s="120"/>
      <c r="E11" s="235"/>
      <c r="F11" s="236"/>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7" t="s">
        <v>15</v>
      </c>
      <c r="F14" s="238"/>
      <c r="G14" s="46"/>
    </row>
    <row r="15" spans="1:7" s="52" customFormat="1" x14ac:dyDescent="0.3">
      <c r="A15" s="48" t="s">
        <v>115</v>
      </c>
      <c r="B15" s="49">
        <v>47</v>
      </c>
      <c r="C15" s="152" t="str">
        <f xml:space="preserve"> IF(B15="","",setValueToTime(B15))</f>
        <v>3h55min</v>
      </c>
      <c r="D15" s="165" t="s">
        <v>154</v>
      </c>
      <c r="E15" s="239"/>
      <c r="F15" s="240"/>
      <c r="G15" s="51"/>
    </row>
    <row r="16" spans="1:7" s="52" customFormat="1" ht="15" thickBot="1" x14ac:dyDescent="0.35">
      <c r="A16" s="53" t="s">
        <v>93</v>
      </c>
      <c r="B16" s="54">
        <v>1</v>
      </c>
      <c r="C16" s="155" t="str">
        <f t="shared" ref="C16" si="1" xml:space="preserve"> IF(B16="","",setValueToTime(B16))</f>
        <v>0h5min</v>
      </c>
      <c r="D16" s="166" t="s">
        <v>118</v>
      </c>
      <c r="E16" s="243"/>
      <c r="F16" s="244"/>
      <c r="G16" s="51"/>
    </row>
    <row r="17" spans="1:7" s="52" customFormat="1" ht="15" thickBot="1" x14ac:dyDescent="0.35">
      <c r="A17" s="111" t="s">
        <v>28</v>
      </c>
      <c r="B17" s="84">
        <f>SUM(B15:B16)</f>
        <v>48</v>
      </c>
      <c r="C17" s="111" t="str">
        <f xml:space="preserve"> setValueToTime(B17)</f>
        <v>4h</v>
      </c>
      <c r="D17" s="120"/>
      <c r="E17" s="235"/>
      <c r="F17" s="236"/>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7" t="s">
        <v>15</v>
      </c>
      <c r="F20" s="238"/>
      <c r="G20" s="46"/>
    </row>
    <row r="21" spans="1:7" s="52" customFormat="1" ht="27" x14ac:dyDescent="0.3">
      <c r="A21" s="48" t="s">
        <v>149</v>
      </c>
      <c r="B21" s="49">
        <v>37</v>
      </c>
      <c r="C21" s="152" t="str">
        <f xml:space="preserve"> IF(B21="","",setValueToTime(B21))</f>
        <v>3h5min</v>
      </c>
      <c r="D21" s="165" t="s">
        <v>152</v>
      </c>
      <c r="E21" s="239"/>
      <c r="F21" s="240"/>
      <c r="G21" s="51"/>
    </row>
    <row r="22" spans="1:7" s="52" customFormat="1" ht="15" thickBot="1" x14ac:dyDescent="0.35">
      <c r="A22" s="53" t="s">
        <v>93</v>
      </c>
      <c r="B22" s="54">
        <v>1</v>
      </c>
      <c r="C22" s="155" t="str">
        <f t="shared" ref="C22" si="2" xml:space="preserve"> IF(B22="","",setValueToTime(B22))</f>
        <v>0h5min</v>
      </c>
      <c r="D22" s="166" t="s">
        <v>118</v>
      </c>
      <c r="E22" s="243"/>
      <c r="F22" s="244"/>
      <c r="G22" s="51"/>
    </row>
    <row r="23" spans="1:7" s="52" customFormat="1" ht="15" thickBot="1" x14ac:dyDescent="0.35">
      <c r="A23" s="111" t="s">
        <v>28</v>
      </c>
      <c r="B23" s="84">
        <f>SUM(B21:B22)</f>
        <v>38</v>
      </c>
      <c r="C23" s="111" t="str">
        <f xml:space="preserve"> setValueToTime(B23)</f>
        <v>3h10min</v>
      </c>
      <c r="D23" s="120"/>
      <c r="E23" s="235"/>
      <c r="F23" s="236"/>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7" t="s">
        <v>15</v>
      </c>
      <c r="F26" s="238"/>
      <c r="G26" s="46"/>
    </row>
    <row r="27" spans="1:7" s="52" customFormat="1" x14ac:dyDescent="0.3">
      <c r="A27" s="53" t="s">
        <v>98</v>
      </c>
      <c r="B27" s="49">
        <v>47</v>
      </c>
      <c r="C27" s="152" t="str">
        <f xml:space="preserve"> IF(B27="","",setValueToTime(B27))</f>
        <v>3h55min</v>
      </c>
      <c r="D27" s="55" t="s">
        <v>153</v>
      </c>
      <c r="E27" s="239"/>
      <c r="F27" s="240"/>
      <c r="G27" s="51"/>
    </row>
    <row r="28" spans="1:7" s="52" customFormat="1" ht="15" thickBot="1" x14ac:dyDescent="0.35">
      <c r="A28" s="53" t="s">
        <v>93</v>
      </c>
      <c r="B28" s="54">
        <v>1</v>
      </c>
      <c r="C28" s="155" t="str">
        <f t="shared" ref="C28" si="3" xml:space="preserve"> IF(B28="","",setValueToTime(B28))</f>
        <v>0h5min</v>
      </c>
      <c r="D28" s="166" t="s">
        <v>118</v>
      </c>
      <c r="E28" s="243"/>
      <c r="F28" s="244"/>
      <c r="G28" s="51"/>
    </row>
    <row r="29" spans="1:7" s="52" customFormat="1" ht="15" thickBot="1" x14ac:dyDescent="0.35">
      <c r="A29" s="111" t="s">
        <v>28</v>
      </c>
      <c r="B29" s="84">
        <f>SUM(B27:B28)</f>
        <v>48</v>
      </c>
      <c r="C29" s="111" t="str">
        <f xml:space="preserve"> setValueToTime(B29)</f>
        <v>4h</v>
      </c>
      <c r="D29" s="120"/>
      <c r="E29" s="235"/>
      <c r="F29" s="236"/>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7" t="s">
        <v>15</v>
      </c>
      <c r="F32" s="238"/>
      <c r="G32" s="46"/>
    </row>
    <row r="33" spans="1:7" s="52" customFormat="1" ht="40.5" x14ac:dyDescent="0.3">
      <c r="A33" s="48" t="s">
        <v>106</v>
      </c>
      <c r="B33" s="49">
        <v>37</v>
      </c>
      <c r="C33" s="152" t="str">
        <f xml:space="preserve"> IF(B33="","",setValueToTime(B33))</f>
        <v>3h5min</v>
      </c>
      <c r="D33" s="165" t="s">
        <v>150</v>
      </c>
      <c r="E33" s="239"/>
      <c r="F33" s="240"/>
      <c r="G33" s="51"/>
    </row>
    <row r="34" spans="1:7" s="52" customFormat="1" ht="15" thickBot="1" x14ac:dyDescent="0.35">
      <c r="A34" s="53" t="s">
        <v>93</v>
      </c>
      <c r="B34" s="54">
        <v>1</v>
      </c>
      <c r="C34" s="155" t="str">
        <f t="shared" ref="C34" si="4" xml:space="preserve"> IF(B34="","",setValueToTime(B34))</f>
        <v>0h5min</v>
      </c>
      <c r="D34" s="166" t="s">
        <v>118</v>
      </c>
      <c r="E34" s="243"/>
      <c r="F34" s="244"/>
      <c r="G34" s="51"/>
    </row>
    <row r="35" spans="1:7" s="52" customFormat="1" ht="15" thickBot="1" x14ac:dyDescent="0.35">
      <c r="A35" s="111" t="s">
        <v>28</v>
      </c>
      <c r="B35" s="84">
        <f>SUM(B33:B34)</f>
        <v>38</v>
      </c>
      <c r="C35" s="111" t="str">
        <f xml:space="preserve"> setValueToTime(B35)</f>
        <v>3h10min</v>
      </c>
      <c r="D35" s="120"/>
      <c r="E35" s="235"/>
      <c r="F35" s="236"/>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7" t="s">
        <v>15</v>
      </c>
      <c r="F38" s="238"/>
      <c r="G38" s="46"/>
    </row>
    <row r="39" spans="1:7" s="52" customFormat="1" ht="40.5" x14ac:dyDescent="0.3">
      <c r="A39" s="48" t="s">
        <v>107</v>
      </c>
      <c r="B39" s="49">
        <v>20</v>
      </c>
      <c r="C39" s="152" t="str">
        <f xml:space="preserve"> IF(B39="","",setValueToTime(B39))</f>
        <v>1h40min</v>
      </c>
      <c r="D39" s="165" t="s">
        <v>151</v>
      </c>
      <c r="E39" s="239"/>
      <c r="F39" s="240"/>
      <c r="G39" s="51"/>
    </row>
    <row r="40" spans="1:7" s="52" customFormat="1" ht="27" x14ac:dyDescent="0.3">
      <c r="A40" s="53" t="s">
        <v>123</v>
      </c>
      <c r="B40" s="54">
        <v>17</v>
      </c>
      <c r="C40" s="153" t="str">
        <f t="shared" ref="C40:C41" si="5" xml:space="preserve"> IF(B40="","",setValueToTime(B40))</f>
        <v>1h25min</v>
      </c>
      <c r="D40" s="166" t="s">
        <v>148</v>
      </c>
      <c r="E40" s="241"/>
      <c r="F40" s="242"/>
      <c r="G40" s="51"/>
    </row>
    <row r="41" spans="1:7" s="52" customFormat="1" ht="15" thickBot="1" x14ac:dyDescent="0.35">
      <c r="A41" s="53" t="s">
        <v>93</v>
      </c>
      <c r="B41" s="54">
        <v>1</v>
      </c>
      <c r="C41" s="155" t="str">
        <f t="shared" si="5"/>
        <v>0h5min</v>
      </c>
      <c r="D41" s="166" t="s">
        <v>118</v>
      </c>
      <c r="E41" s="243"/>
      <c r="F41" s="244"/>
      <c r="G41" s="51"/>
    </row>
    <row r="42" spans="1:7" s="52" customFormat="1" ht="15" thickBot="1" x14ac:dyDescent="0.35">
      <c r="A42" s="111" t="s">
        <v>28</v>
      </c>
      <c r="B42" s="84">
        <f>SUM(B39:B41)</f>
        <v>38</v>
      </c>
      <c r="C42" s="111" t="str">
        <f xml:space="preserve"> setValueToTime(B42)</f>
        <v>3h10min</v>
      </c>
      <c r="D42" s="120"/>
      <c r="E42" s="235"/>
      <c r="F42" s="236"/>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7" t="s">
        <v>15</v>
      </c>
      <c r="F45" s="238"/>
      <c r="G45" s="46"/>
    </row>
    <row r="46" spans="1:7" s="52" customFormat="1" ht="27" x14ac:dyDescent="0.3">
      <c r="A46" s="48" t="s">
        <v>123</v>
      </c>
      <c r="B46" s="49">
        <v>37</v>
      </c>
      <c r="C46" s="152" t="str">
        <f xml:space="preserve"> IF(B46="","",setValueToTime(B46))</f>
        <v>3h5min</v>
      </c>
      <c r="D46" s="165" t="s">
        <v>147</v>
      </c>
      <c r="E46" s="239"/>
      <c r="F46" s="240"/>
      <c r="G46" s="51"/>
    </row>
    <row r="47" spans="1:7" s="52" customFormat="1" ht="15" thickBot="1" x14ac:dyDescent="0.35">
      <c r="A47" s="53" t="s">
        <v>93</v>
      </c>
      <c r="B47" s="54">
        <v>1</v>
      </c>
      <c r="C47" s="155" t="str">
        <f t="shared" ref="C47" si="6" xml:space="preserve"> IF(B47="","",setValueToTime(B47))</f>
        <v>0h5min</v>
      </c>
      <c r="D47" s="166" t="s">
        <v>118</v>
      </c>
      <c r="E47" s="243"/>
      <c r="F47" s="244"/>
      <c r="G47" s="51"/>
    </row>
    <row r="48" spans="1:7" s="52" customFormat="1" ht="15" thickBot="1" x14ac:dyDescent="0.35">
      <c r="A48" s="111" t="s">
        <v>28</v>
      </c>
      <c r="B48" s="84">
        <f>SUM(B46:B47)</f>
        <v>38</v>
      </c>
      <c r="C48" s="111" t="str">
        <f xml:space="preserve"> setValueToTime(B48)</f>
        <v>3h10min</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7" t="s">
        <v>15</v>
      </c>
      <c r="F51" s="238"/>
      <c r="G51" s="46"/>
    </row>
    <row r="52" spans="1:7" s="52" customFormat="1" ht="27" x14ac:dyDescent="0.3">
      <c r="A52" s="53" t="s">
        <v>98</v>
      </c>
      <c r="B52" s="54">
        <v>47</v>
      </c>
      <c r="C52" s="152" t="str">
        <f xml:space="preserve"> IF(B52="","",setValueToTime(B52))</f>
        <v>3h55min</v>
      </c>
      <c r="D52" s="166" t="s">
        <v>145</v>
      </c>
      <c r="E52" s="239"/>
      <c r="F52" s="240"/>
      <c r="G52" s="51"/>
    </row>
    <row r="53" spans="1:7" s="52" customFormat="1" ht="15" thickBot="1" x14ac:dyDescent="0.35">
      <c r="A53" s="53" t="s">
        <v>93</v>
      </c>
      <c r="B53" s="54">
        <v>1</v>
      </c>
      <c r="C53" s="155" t="str">
        <f t="shared" ref="C53" si="7" xml:space="preserve"> IF(B53="","",setValueToTime(B53))</f>
        <v>0h5min</v>
      </c>
      <c r="D53" s="166" t="s">
        <v>118</v>
      </c>
      <c r="E53" s="243"/>
      <c r="F53" s="244"/>
      <c r="G53" s="51"/>
    </row>
    <row r="54" spans="1:7" s="52" customFormat="1" ht="15" thickBot="1" x14ac:dyDescent="0.35">
      <c r="A54" s="111" t="s">
        <v>28</v>
      </c>
      <c r="B54" s="84">
        <f>SUM(B52:B53)</f>
        <v>48</v>
      </c>
      <c r="C54" s="111" t="str">
        <f xml:space="preserve"> setValueToTime(B54)</f>
        <v>4h</v>
      </c>
      <c r="D54" s="120"/>
      <c r="E54" s="235"/>
      <c r="F54" s="236"/>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7" t="s">
        <v>15</v>
      </c>
      <c r="F57" s="238"/>
      <c r="G57" s="46"/>
    </row>
    <row r="58" spans="1:7" s="52" customFormat="1" ht="40.5" x14ac:dyDescent="0.3">
      <c r="A58" s="48" t="s">
        <v>108</v>
      </c>
      <c r="B58" s="49">
        <v>37</v>
      </c>
      <c r="C58" s="152" t="str">
        <f xml:space="preserve"> IF(B58="","",setValueToTime(B58))</f>
        <v>3h5min</v>
      </c>
      <c r="D58" s="165" t="s">
        <v>146</v>
      </c>
      <c r="E58" s="239"/>
      <c r="F58" s="240"/>
      <c r="G58" s="51"/>
    </row>
    <row r="59" spans="1:7" s="52" customFormat="1" ht="15" thickBot="1" x14ac:dyDescent="0.35">
      <c r="A59" s="53" t="s">
        <v>93</v>
      </c>
      <c r="B59" s="54">
        <v>1</v>
      </c>
      <c r="C59" s="155" t="str">
        <f t="shared" ref="C59" si="8" xml:space="preserve"> IF(B59="","",setValueToTime(B59))</f>
        <v>0h5min</v>
      </c>
      <c r="D59" s="166" t="s">
        <v>118</v>
      </c>
      <c r="E59" s="243"/>
      <c r="F59" s="244"/>
      <c r="G59" s="51"/>
    </row>
    <row r="60" spans="1:7" s="52" customFormat="1" ht="15" thickBot="1" x14ac:dyDescent="0.35">
      <c r="A60" s="111" t="s">
        <v>28</v>
      </c>
      <c r="B60" s="84">
        <f>SUM(B58:B59)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7" t="s">
        <v>15</v>
      </c>
      <c r="F63" s="238"/>
      <c r="G63" s="46"/>
    </row>
    <row r="64" spans="1:7" s="52" customFormat="1" x14ac:dyDescent="0.3">
      <c r="A64" s="53" t="s">
        <v>98</v>
      </c>
      <c r="B64" s="54">
        <v>17</v>
      </c>
      <c r="C64" s="152" t="str">
        <f xml:space="preserve"> IF(B64="","",setValueToTime(B64))</f>
        <v>1h25min</v>
      </c>
      <c r="D64" s="166" t="s">
        <v>156</v>
      </c>
      <c r="E64" s="239"/>
      <c r="F64" s="240"/>
      <c r="G64" s="51"/>
    </row>
    <row r="65" spans="1:7" s="52" customFormat="1" ht="40.5" x14ac:dyDescent="0.3">
      <c r="A65" s="53" t="s">
        <v>108</v>
      </c>
      <c r="B65" s="54">
        <v>30</v>
      </c>
      <c r="C65" s="153" t="str">
        <f t="shared" ref="C65:C66" si="9" xml:space="preserve"> IF(B65="","",setValueToTime(B65))</f>
        <v>2h30min</v>
      </c>
      <c r="D65" s="55" t="s">
        <v>144</v>
      </c>
      <c r="E65" s="241"/>
      <c r="F65" s="242"/>
      <c r="G65" s="51"/>
    </row>
    <row r="66" spans="1:7" s="52" customFormat="1" ht="15" thickBot="1" x14ac:dyDescent="0.35">
      <c r="A66" s="53" t="s">
        <v>93</v>
      </c>
      <c r="B66" s="54">
        <v>1</v>
      </c>
      <c r="C66" s="155" t="str">
        <f t="shared" si="9"/>
        <v>0h5min</v>
      </c>
      <c r="D66" s="166" t="s">
        <v>118</v>
      </c>
      <c r="E66" s="243"/>
      <c r="F66" s="244"/>
      <c r="G66" s="51"/>
    </row>
    <row r="67" spans="1:7" s="52" customFormat="1" ht="15" thickBot="1" x14ac:dyDescent="0.35">
      <c r="A67" s="111" t="s">
        <v>28</v>
      </c>
      <c r="B67" s="84">
        <f>SUM(B64:B66)</f>
        <v>48</v>
      </c>
      <c r="C67" s="111" t="str">
        <f xml:space="preserve"> setValueToTime(B67)</f>
        <v>4h</v>
      </c>
      <c r="D67" s="120"/>
      <c r="E67" s="235"/>
      <c r="F67" s="236"/>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7" t="s">
        <v>15</v>
      </c>
      <c r="F70" s="238"/>
      <c r="G70" s="46"/>
    </row>
    <row r="71" spans="1:7" s="52" customFormat="1" ht="27" x14ac:dyDescent="0.3">
      <c r="A71" s="48" t="s">
        <v>122</v>
      </c>
      <c r="B71" s="49">
        <v>15</v>
      </c>
      <c r="C71" s="153" t="str">
        <f t="shared" ref="C71:C73" si="10" xml:space="preserve"> IF(B71="","",setValueToTime(B71))</f>
        <v>1h15min</v>
      </c>
      <c r="D71" s="165" t="s">
        <v>143</v>
      </c>
      <c r="E71" s="239"/>
      <c r="F71" s="240"/>
      <c r="G71" s="51"/>
    </row>
    <row r="72" spans="1:7" s="52" customFormat="1" ht="40.5" x14ac:dyDescent="0.3">
      <c r="A72" s="53" t="s">
        <v>142</v>
      </c>
      <c r="B72" s="54">
        <v>22</v>
      </c>
      <c r="C72" s="153" t="str">
        <f t="shared" si="10"/>
        <v>1h50min</v>
      </c>
      <c r="D72" s="166" t="s">
        <v>155</v>
      </c>
      <c r="E72" s="241"/>
      <c r="F72" s="242"/>
      <c r="G72" s="51"/>
    </row>
    <row r="73" spans="1:7" s="52" customFormat="1" ht="15" thickBot="1" x14ac:dyDescent="0.35">
      <c r="A73" s="53" t="s">
        <v>93</v>
      </c>
      <c r="B73" s="54">
        <v>1</v>
      </c>
      <c r="C73" s="155" t="str">
        <f t="shared" si="10"/>
        <v>0h5min</v>
      </c>
      <c r="D73" s="166" t="s">
        <v>118</v>
      </c>
      <c r="E73" s="243"/>
      <c r="F73" s="244"/>
      <c r="G73" s="51"/>
    </row>
    <row r="74" spans="1:7" s="52" customFormat="1" ht="15" thickBot="1" x14ac:dyDescent="0.35">
      <c r="A74" s="111" t="s">
        <v>28</v>
      </c>
      <c r="B74" s="84">
        <f>SUM(B71:B73)</f>
        <v>38</v>
      </c>
      <c r="C74" s="111" t="str">
        <f xml:space="preserve"> setValueToTime(B74)</f>
        <v>3h10min</v>
      </c>
      <c r="D74" s="120"/>
      <c r="E74" s="235"/>
      <c r="F74" s="236"/>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7" t="s">
        <v>15</v>
      </c>
      <c r="F77" s="238"/>
      <c r="G77" s="46"/>
    </row>
    <row r="78" spans="1:7" s="52" customFormat="1" ht="27" x14ac:dyDescent="0.3">
      <c r="A78" s="48" t="s">
        <v>95</v>
      </c>
      <c r="B78" s="49">
        <v>6</v>
      </c>
      <c r="C78" s="152" t="str">
        <f xml:space="preserve"> IF(B78="","",setValueToTime(B78))</f>
        <v>0h30min</v>
      </c>
      <c r="D78" s="165" t="s">
        <v>139</v>
      </c>
      <c r="E78" s="239"/>
      <c r="F78" s="240"/>
      <c r="G78" s="51"/>
    </row>
    <row r="79" spans="1:7" s="52" customFormat="1" ht="27" x14ac:dyDescent="0.3">
      <c r="A79" s="53" t="s">
        <v>112</v>
      </c>
      <c r="B79" s="54">
        <v>31</v>
      </c>
      <c r="C79" s="153" t="str">
        <f t="shared" ref="C79:C80" si="11" xml:space="preserve"> IF(B79="","",setValueToTime(B79))</f>
        <v>2h35min</v>
      </c>
      <c r="D79" s="166" t="s">
        <v>140</v>
      </c>
      <c r="E79" s="241"/>
      <c r="F79" s="242"/>
      <c r="G79" s="51"/>
    </row>
    <row r="80" spans="1:7" s="52" customFormat="1" ht="15" thickBot="1" x14ac:dyDescent="0.35">
      <c r="A80" s="53" t="s">
        <v>93</v>
      </c>
      <c r="B80" s="54">
        <v>1</v>
      </c>
      <c r="C80" s="155" t="str">
        <f t="shared" si="11"/>
        <v>0h5min</v>
      </c>
      <c r="D80" s="166" t="s">
        <v>118</v>
      </c>
      <c r="E80" s="243"/>
      <c r="F80" s="244"/>
      <c r="G80" s="51"/>
    </row>
    <row r="81" spans="1:7" s="52" customFormat="1" ht="15" thickBot="1" x14ac:dyDescent="0.35">
      <c r="A81" s="111" t="s">
        <v>28</v>
      </c>
      <c r="B81" s="84">
        <f>SUM(B78:B80)</f>
        <v>38</v>
      </c>
      <c r="C81" s="111" t="str">
        <f xml:space="preserve"> setValueToTime(B81)</f>
        <v>3h10min</v>
      </c>
      <c r="D81" s="120"/>
      <c r="E81" s="235"/>
      <c r="F81" s="236"/>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7" t="s">
        <v>15</v>
      </c>
      <c r="F84" s="238"/>
      <c r="G84" s="46"/>
    </row>
    <row r="85" spans="1:7" s="52" customFormat="1" ht="27" x14ac:dyDescent="0.3">
      <c r="A85" s="48" t="s">
        <v>96</v>
      </c>
      <c r="B85" s="49">
        <v>30</v>
      </c>
      <c r="C85" s="152" t="str">
        <f xml:space="preserve"> IF(B85="","",setValueToTime(B85))</f>
        <v>2h30min</v>
      </c>
      <c r="D85" s="165" t="s">
        <v>138</v>
      </c>
      <c r="E85" s="239"/>
      <c r="F85" s="240"/>
      <c r="G85" s="51"/>
    </row>
    <row r="86" spans="1:7" s="52" customFormat="1" x14ac:dyDescent="0.3">
      <c r="A86" s="53" t="s">
        <v>110</v>
      </c>
      <c r="B86" s="54">
        <v>17</v>
      </c>
      <c r="C86" s="153" t="str">
        <f t="shared" ref="C86:C87" si="12" xml:space="preserve"> IF(B86="","",setValueToTime(B86))</f>
        <v>1h25min</v>
      </c>
      <c r="D86" s="166" t="s">
        <v>141</v>
      </c>
      <c r="E86" s="241"/>
      <c r="F86" s="242"/>
      <c r="G86" s="51"/>
    </row>
    <row r="87" spans="1:7" s="52" customFormat="1" ht="15" thickBot="1" x14ac:dyDescent="0.35">
      <c r="A87" s="53" t="s">
        <v>93</v>
      </c>
      <c r="B87" s="54">
        <v>1</v>
      </c>
      <c r="C87" s="155" t="str">
        <f t="shared" si="12"/>
        <v>0h5min</v>
      </c>
      <c r="D87" s="166" t="s">
        <v>118</v>
      </c>
      <c r="E87" s="243"/>
      <c r="F87" s="244"/>
      <c r="G87" s="51"/>
    </row>
    <row r="88" spans="1:7" s="52" customFormat="1" ht="15" thickBot="1" x14ac:dyDescent="0.35">
      <c r="A88" s="111" t="s">
        <v>28</v>
      </c>
      <c r="B88" s="84">
        <f>SUM(B85:B87)</f>
        <v>48</v>
      </c>
      <c r="C88" s="111" t="str">
        <f xml:space="preserve"> setValueToTime(B88)</f>
        <v>4h</v>
      </c>
      <c r="D88" s="120"/>
      <c r="E88" s="235"/>
      <c r="F88" s="236"/>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7" t="s">
        <v>15</v>
      </c>
      <c r="F91" s="238"/>
      <c r="G91" s="46"/>
    </row>
    <row r="92" spans="1:7" s="52" customFormat="1" ht="27" x14ac:dyDescent="0.3">
      <c r="A92" s="48" t="s">
        <v>104</v>
      </c>
      <c r="B92" s="49">
        <v>37</v>
      </c>
      <c r="C92" s="152" t="str">
        <f xml:space="preserve"> IF(B92="","",setValueToTime(B92))</f>
        <v>3h5min</v>
      </c>
      <c r="D92" s="165" t="s">
        <v>137</v>
      </c>
      <c r="E92" s="239"/>
      <c r="F92" s="240"/>
      <c r="G92" s="51"/>
    </row>
    <row r="93" spans="1:7" s="52" customFormat="1" ht="15" thickBot="1" x14ac:dyDescent="0.35">
      <c r="A93" s="53" t="s">
        <v>93</v>
      </c>
      <c r="B93" s="54">
        <v>1</v>
      </c>
      <c r="C93" s="155" t="str">
        <f t="shared" ref="C93" si="13" xml:space="preserve"> IF(B93="","",setValueToTime(B93))</f>
        <v>0h5min</v>
      </c>
      <c r="D93" s="166" t="s">
        <v>118</v>
      </c>
      <c r="E93" s="243"/>
      <c r="F93" s="244"/>
      <c r="G93" s="51"/>
    </row>
    <row r="94" spans="1:7" s="52" customFormat="1" ht="15" thickBot="1" x14ac:dyDescent="0.35">
      <c r="A94" s="111" t="s">
        <v>28</v>
      </c>
      <c r="B94" s="84">
        <f>SUM(B92:B93)</f>
        <v>38</v>
      </c>
      <c r="C94" s="111" t="str">
        <f xml:space="preserve"> setValueToTime(B94)</f>
        <v>3h10min</v>
      </c>
      <c r="D94" s="120"/>
      <c r="E94" s="235"/>
      <c r="F94" s="236"/>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7" t="s">
        <v>15</v>
      </c>
      <c r="F97" s="238"/>
      <c r="G97" s="46"/>
    </row>
    <row r="98" spans="1:7" s="52" customFormat="1" ht="27" x14ac:dyDescent="0.3">
      <c r="A98" s="48" t="s">
        <v>111</v>
      </c>
      <c r="B98" s="49">
        <v>2</v>
      </c>
      <c r="C98" s="152" t="str">
        <f xml:space="preserve"> IF(B98="","",setValueToTime(B98))</f>
        <v>0h10min</v>
      </c>
      <c r="D98" s="165" t="s">
        <v>136</v>
      </c>
      <c r="E98" s="239"/>
      <c r="F98" s="240"/>
      <c r="G98" s="51"/>
    </row>
    <row r="99" spans="1:7" s="52" customFormat="1" ht="27" x14ac:dyDescent="0.3">
      <c r="A99" s="53" t="s">
        <v>105</v>
      </c>
      <c r="B99" s="54">
        <v>26</v>
      </c>
      <c r="C99" s="153" t="str">
        <f t="shared" ref="C99:C101" si="14" xml:space="preserve"> IF(B99="","",setValueToTime(B99))</f>
        <v>2h10min</v>
      </c>
      <c r="D99" s="166" t="s">
        <v>135</v>
      </c>
      <c r="E99" s="241"/>
      <c r="F99" s="242"/>
      <c r="G99" s="51"/>
    </row>
    <row r="100" spans="1:7" s="52" customFormat="1" ht="40.5" x14ac:dyDescent="0.3">
      <c r="A100" s="53" t="s">
        <v>113</v>
      </c>
      <c r="B100" s="54">
        <v>9</v>
      </c>
      <c r="C100" s="153" t="str">
        <f t="shared" si="14"/>
        <v>0h45min</v>
      </c>
      <c r="D100" s="166" t="s">
        <v>159</v>
      </c>
      <c r="E100" s="241"/>
      <c r="F100" s="242"/>
      <c r="G100" s="51"/>
    </row>
    <row r="101" spans="1:7" s="52" customFormat="1" ht="15" thickBot="1" x14ac:dyDescent="0.35">
      <c r="A101" s="53" t="s">
        <v>93</v>
      </c>
      <c r="B101" s="54">
        <v>1</v>
      </c>
      <c r="C101" s="155" t="str">
        <f t="shared" si="14"/>
        <v>0h5min</v>
      </c>
      <c r="D101" s="166" t="s">
        <v>118</v>
      </c>
      <c r="E101" s="243"/>
      <c r="F101" s="244"/>
      <c r="G101" s="51"/>
    </row>
    <row r="102" spans="1:7" s="52" customFormat="1" ht="15" thickBot="1" x14ac:dyDescent="0.35">
      <c r="A102" s="111" t="s">
        <v>28</v>
      </c>
      <c r="B102" s="84">
        <f>SUM(B98:B101)</f>
        <v>38</v>
      </c>
      <c r="C102" s="111" t="str">
        <f xml:space="preserve"> setValueToTime(B102)</f>
        <v>3h10min</v>
      </c>
      <c r="D102" s="120"/>
      <c r="E102" s="235"/>
      <c r="F102" s="236"/>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7" t="s">
        <v>15</v>
      </c>
      <c r="F105" s="238"/>
      <c r="G105" s="46"/>
    </row>
    <row r="106" spans="1:7" s="52" customFormat="1" ht="27" x14ac:dyDescent="0.3">
      <c r="A106" s="48" t="s">
        <v>114</v>
      </c>
      <c r="B106" s="49">
        <v>37</v>
      </c>
      <c r="C106" s="152" t="str">
        <f xml:space="preserve"> IF(B106="","",setValueToTime(B106))</f>
        <v>3h5min</v>
      </c>
      <c r="D106" s="165" t="s">
        <v>134</v>
      </c>
      <c r="E106" s="239"/>
      <c r="F106" s="240"/>
      <c r="G106" s="51"/>
    </row>
    <row r="107" spans="1:7" s="52" customFormat="1" ht="15" thickBot="1" x14ac:dyDescent="0.35">
      <c r="A107" s="53" t="s">
        <v>93</v>
      </c>
      <c r="B107" s="54">
        <v>1</v>
      </c>
      <c r="C107" s="155" t="str">
        <f t="shared" ref="C107" si="15" xml:space="preserve"> IF(B107="","",setValueToTime(B107))</f>
        <v>0h5min</v>
      </c>
      <c r="D107" s="166" t="s">
        <v>118</v>
      </c>
      <c r="E107" s="243"/>
      <c r="F107" s="244"/>
      <c r="G107" s="51"/>
    </row>
    <row r="108" spans="1:7" s="52" customFormat="1" ht="15" thickBot="1" x14ac:dyDescent="0.35">
      <c r="A108" s="111" t="s">
        <v>28</v>
      </c>
      <c r="B108" s="84">
        <f>SUM(B106:B107)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7" t="s">
        <v>15</v>
      </c>
      <c r="F111" s="238"/>
      <c r="G111" s="46"/>
    </row>
    <row r="112" spans="1:7" s="52" customFormat="1" ht="15" thickBot="1" x14ac:dyDescent="0.35">
      <c r="A112" s="48" t="s">
        <v>4</v>
      </c>
      <c r="B112" s="49">
        <v>38</v>
      </c>
      <c r="C112" s="152" t="str">
        <f xml:space="preserve"> IF(B112="","",setValueToTime(B112))</f>
        <v>3h10min</v>
      </c>
      <c r="D112" s="165" t="s">
        <v>119</v>
      </c>
      <c r="E112" s="239"/>
      <c r="F112" s="240"/>
      <c r="G112" s="51"/>
    </row>
    <row r="113" spans="1:7" s="52" customFormat="1" ht="15" thickBot="1" x14ac:dyDescent="0.35">
      <c r="A113" s="111" t="s">
        <v>28</v>
      </c>
      <c r="B113" s="84">
        <f>SUM(B112:B112)</f>
        <v>38</v>
      </c>
      <c r="C113" s="111" t="str">
        <f xml:space="preserve"> setValueToTime(B113)</f>
        <v>3h10min</v>
      </c>
      <c r="D113" s="120"/>
      <c r="E113" s="235"/>
      <c r="F113" s="236"/>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7" t="s">
        <v>15</v>
      </c>
      <c r="F116" s="238"/>
      <c r="G116" s="46"/>
    </row>
    <row r="117" spans="1:7" s="52" customFormat="1" ht="15" thickBot="1" x14ac:dyDescent="0.35">
      <c r="A117" s="48" t="s">
        <v>4</v>
      </c>
      <c r="B117" s="49">
        <v>48</v>
      </c>
      <c r="C117" s="152" t="str">
        <f xml:space="preserve"> IF(B117="","",setValueToTime(B117))</f>
        <v>4h</v>
      </c>
      <c r="D117" s="165" t="s">
        <v>119</v>
      </c>
      <c r="E117" s="239"/>
      <c r="F117" s="240"/>
      <c r="G117" s="51"/>
    </row>
    <row r="118" spans="1:7" s="52" customFormat="1" ht="15" thickBot="1" x14ac:dyDescent="0.35">
      <c r="A118" s="111" t="s">
        <v>28</v>
      </c>
      <c r="B118" s="84">
        <f>SUM(B117:B117)</f>
        <v>48</v>
      </c>
      <c r="C118" s="111" t="str">
        <f xml:space="preserve"> setValueToTime(B118)</f>
        <v>4h</v>
      </c>
      <c r="D118" s="120"/>
      <c r="E118" s="235"/>
      <c r="F118" s="236"/>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7" t="s">
        <v>15</v>
      </c>
      <c r="F121" s="238"/>
      <c r="G121" s="46"/>
    </row>
    <row r="122" spans="1:7" s="52" customFormat="1" ht="40.5" x14ac:dyDescent="0.3">
      <c r="A122" s="48" t="s">
        <v>116</v>
      </c>
      <c r="B122" s="49">
        <v>37</v>
      </c>
      <c r="C122" s="152" t="str">
        <f xml:space="preserve"> IF(B122="","",setValueToTime(B122))</f>
        <v>3h5min</v>
      </c>
      <c r="D122" s="165" t="s">
        <v>132</v>
      </c>
      <c r="E122" s="245" t="s">
        <v>131</v>
      </c>
      <c r="F122" s="240"/>
      <c r="G122" s="51"/>
    </row>
    <row r="123" spans="1:7" s="52" customFormat="1" ht="15" thickBot="1" x14ac:dyDescent="0.35">
      <c r="A123" s="53" t="s">
        <v>93</v>
      </c>
      <c r="B123" s="54">
        <v>1</v>
      </c>
      <c r="C123" s="155" t="str">
        <f t="shared" ref="C123" si="16" xml:space="preserve"> IF(B123="","",setValueToTime(B123))</f>
        <v>0h5min</v>
      </c>
      <c r="D123" s="166" t="s">
        <v>118</v>
      </c>
      <c r="E123" s="243"/>
      <c r="F123" s="244"/>
      <c r="G123" s="51"/>
    </row>
    <row r="124" spans="1:7" s="52" customFormat="1" ht="15" thickBot="1" x14ac:dyDescent="0.35">
      <c r="A124" s="111" t="s">
        <v>28</v>
      </c>
      <c r="B124" s="84">
        <f>SUM(B122:B123)</f>
        <v>38</v>
      </c>
      <c r="C124" s="111" t="str">
        <f xml:space="preserve"> setValueToTime(B124)</f>
        <v>3h10min</v>
      </c>
      <c r="D124" s="120"/>
      <c r="E124" s="235"/>
      <c r="F124" s="236"/>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7" t="s">
        <v>15</v>
      </c>
      <c r="F127" s="238"/>
      <c r="G127" s="46"/>
    </row>
    <row r="128" spans="1:7" s="52" customFormat="1" ht="27" x14ac:dyDescent="0.3">
      <c r="A128" s="48" t="s">
        <v>117</v>
      </c>
      <c r="B128" s="49">
        <v>47</v>
      </c>
      <c r="C128" s="152" t="str">
        <f xml:space="preserve"> IF(B128="","",setValueToTime(B128))</f>
        <v>3h55min</v>
      </c>
      <c r="D128" s="165" t="s">
        <v>130</v>
      </c>
      <c r="E128" s="239"/>
      <c r="F128" s="240"/>
      <c r="G128" s="51"/>
    </row>
    <row r="129" spans="1:7" s="52" customFormat="1" ht="15" thickBot="1" x14ac:dyDescent="0.35">
      <c r="A129" s="53" t="s">
        <v>93</v>
      </c>
      <c r="B129" s="54">
        <v>1</v>
      </c>
      <c r="C129" s="155" t="str">
        <f t="shared" ref="C129" si="17" xml:space="preserve"> IF(B129="","",setValueToTime(B129))</f>
        <v>0h5min</v>
      </c>
      <c r="D129" s="166" t="s">
        <v>118</v>
      </c>
      <c r="E129" s="243"/>
      <c r="F129" s="244"/>
      <c r="G129" s="51"/>
    </row>
    <row r="130" spans="1:7" s="52" customFormat="1" ht="15" thickBot="1" x14ac:dyDescent="0.35">
      <c r="A130" s="111" t="s">
        <v>28</v>
      </c>
      <c r="B130" s="84">
        <f>SUM(B128:B129)</f>
        <v>48</v>
      </c>
      <c r="C130" s="111" t="str">
        <f xml:space="preserve"> setValueToTime(B130)</f>
        <v>4h</v>
      </c>
      <c r="D130" s="120"/>
      <c r="E130" s="235"/>
      <c r="F130" s="236"/>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7" t="s">
        <v>15</v>
      </c>
      <c r="F133" s="238"/>
      <c r="G133" s="46"/>
    </row>
    <row r="134" spans="1:7" s="52" customFormat="1" ht="27" x14ac:dyDescent="0.3">
      <c r="A134" s="48" t="s">
        <v>101</v>
      </c>
      <c r="B134" s="49">
        <v>37</v>
      </c>
      <c r="C134" s="152" t="str">
        <f xml:space="preserve"> IF(B134="","",setValueToTime(B134))</f>
        <v>3h5min</v>
      </c>
      <c r="D134" s="165" t="s">
        <v>128</v>
      </c>
      <c r="E134" s="239"/>
      <c r="F134" s="240"/>
      <c r="G134" s="51"/>
    </row>
    <row r="135" spans="1:7" s="52" customFormat="1" ht="15" thickBot="1" x14ac:dyDescent="0.35">
      <c r="A135" s="53" t="s">
        <v>93</v>
      </c>
      <c r="B135" s="54">
        <v>1</v>
      </c>
      <c r="C135" s="155" t="str">
        <f t="shared" ref="C135" si="18" xml:space="preserve"> IF(B135="","",setValueToTime(B135))</f>
        <v>0h5min</v>
      </c>
      <c r="D135" s="166" t="s">
        <v>118</v>
      </c>
      <c r="E135" s="243"/>
      <c r="F135" s="244"/>
      <c r="G135" s="51"/>
    </row>
    <row r="136" spans="1:7" s="52" customFormat="1" ht="15" thickBot="1" x14ac:dyDescent="0.35">
      <c r="A136" s="111" t="s">
        <v>28</v>
      </c>
      <c r="B136" s="84">
        <f>SUM(B134:B135)</f>
        <v>38</v>
      </c>
      <c r="C136" s="111" t="str">
        <f xml:space="preserve"> setValueToTime(B136)</f>
        <v>3h10min</v>
      </c>
      <c r="D136" s="120"/>
      <c r="E136" s="235"/>
      <c r="F136" s="236"/>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7" t="s">
        <v>15</v>
      </c>
      <c r="F139" s="238"/>
      <c r="G139" s="46"/>
    </row>
    <row r="140" spans="1:7" s="52" customFormat="1" ht="27" x14ac:dyDescent="0.3">
      <c r="A140" s="48" t="s">
        <v>101</v>
      </c>
      <c r="B140" s="49">
        <v>37</v>
      </c>
      <c r="C140" s="152" t="str">
        <f xml:space="preserve"> IF(B140="","",setValueToTime(B140))</f>
        <v>3h5min</v>
      </c>
      <c r="D140" s="165" t="s">
        <v>129</v>
      </c>
      <c r="E140" s="239"/>
      <c r="F140" s="240"/>
      <c r="G140" s="51"/>
    </row>
    <row r="141" spans="1:7" s="52" customFormat="1" ht="15" thickBot="1" x14ac:dyDescent="0.35">
      <c r="A141" s="53" t="s">
        <v>93</v>
      </c>
      <c r="B141" s="54">
        <v>1</v>
      </c>
      <c r="C141" s="155" t="str">
        <f t="shared" ref="C141" si="19" xml:space="preserve"> IF(B141="","",setValueToTime(B141))</f>
        <v>0h5min</v>
      </c>
      <c r="D141" s="166" t="s">
        <v>118</v>
      </c>
      <c r="E141" s="243"/>
      <c r="F141" s="244"/>
      <c r="G141" s="51"/>
    </row>
    <row r="142" spans="1:7" s="52" customFormat="1" ht="15" thickBot="1" x14ac:dyDescent="0.35">
      <c r="A142" s="111" t="s">
        <v>28</v>
      </c>
      <c r="B142" s="84">
        <f>SUM(B140:B141)</f>
        <v>38</v>
      </c>
      <c r="C142" s="111" t="str">
        <f xml:space="preserve"> setValueToTime(B142)</f>
        <v>3h10min</v>
      </c>
      <c r="D142" s="120"/>
      <c r="E142" s="235"/>
      <c r="F142" s="236"/>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7" t="s">
        <v>15</v>
      </c>
      <c r="F145" s="238"/>
      <c r="G145" s="46"/>
    </row>
    <row r="146" spans="1:7" s="52" customFormat="1" ht="54" x14ac:dyDescent="0.3">
      <c r="A146" s="48" t="s">
        <v>102</v>
      </c>
      <c r="B146" s="49">
        <v>37</v>
      </c>
      <c r="C146" s="152" t="str">
        <f xml:space="preserve"> IF(B146="","",setValueToTime(B146))</f>
        <v>3h5min</v>
      </c>
      <c r="D146" s="165" t="s">
        <v>127</v>
      </c>
      <c r="E146" s="239"/>
      <c r="F146" s="240"/>
      <c r="G146" s="51"/>
    </row>
    <row r="147" spans="1:7" s="52" customFormat="1" ht="15" thickBot="1" x14ac:dyDescent="0.35">
      <c r="A147" s="53" t="s">
        <v>93</v>
      </c>
      <c r="B147" s="54">
        <v>1</v>
      </c>
      <c r="C147" s="155" t="str">
        <f t="shared" ref="C147" si="20" xml:space="preserve"> IF(B147="","",setValueToTime(B147))</f>
        <v>0h5min</v>
      </c>
      <c r="D147" s="166" t="s">
        <v>118</v>
      </c>
      <c r="E147" s="243"/>
      <c r="F147" s="244"/>
      <c r="G147" s="51"/>
    </row>
    <row r="148" spans="1:7" s="52" customFormat="1" ht="15" thickBot="1" x14ac:dyDescent="0.35">
      <c r="A148" s="111" t="s">
        <v>28</v>
      </c>
      <c r="B148" s="84">
        <f>SUM(B146:B147)</f>
        <v>38</v>
      </c>
      <c r="C148" s="111" t="str">
        <f xml:space="preserve"> setValueToTime(B148)</f>
        <v>3h10min</v>
      </c>
      <c r="D148" s="120"/>
      <c r="E148" s="235"/>
      <c r="F148" s="236"/>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7" t="s">
        <v>15</v>
      </c>
      <c r="F151" s="238"/>
      <c r="G151" s="46"/>
    </row>
    <row r="152" spans="1:7" s="52" customFormat="1" ht="27" x14ac:dyDescent="0.3">
      <c r="A152" s="48" t="s">
        <v>103</v>
      </c>
      <c r="B152" s="49">
        <v>6</v>
      </c>
      <c r="C152" s="152" t="str">
        <f xml:space="preserve"> IF(B152="","",setValueToTime(B152))</f>
        <v>0h30min</v>
      </c>
      <c r="D152" s="165" t="s">
        <v>125</v>
      </c>
      <c r="E152" s="239"/>
      <c r="F152" s="240"/>
      <c r="G152" s="51"/>
    </row>
    <row r="153" spans="1:7" s="52" customFormat="1" ht="27" x14ac:dyDescent="0.3">
      <c r="A153" s="53" t="s">
        <v>111</v>
      </c>
      <c r="B153" s="54">
        <v>4</v>
      </c>
      <c r="C153" s="153" t="str">
        <f t="shared" ref="C153:C155" si="21" xml:space="preserve"> IF(B153="","",setValueToTime(B153))</f>
        <v>0h20min</v>
      </c>
      <c r="D153" s="166" t="s">
        <v>158</v>
      </c>
      <c r="E153" s="241"/>
      <c r="F153" s="242"/>
      <c r="G153" s="51"/>
    </row>
    <row r="154" spans="1:7" s="52" customFormat="1" ht="27" x14ac:dyDescent="0.3">
      <c r="A154" s="53" t="s">
        <v>100</v>
      </c>
      <c r="B154" s="54">
        <v>27</v>
      </c>
      <c r="C154" s="153" t="str">
        <f t="shared" si="21"/>
        <v>2h15min</v>
      </c>
      <c r="D154" s="166" t="s">
        <v>126</v>
      </c>
      <c r="E154" s="241"/>
      <c r="F154" s="242"/>
      <c r="G154" s="51"/>
    </row>
    <row r="155" spans="1:7" s="52" customFormat="1" ht="15" thickBot="1" x14ac:dyDescent="0.35">
      <c r="A155" s="53" t="s">
        <v>93</v>
      </c>
      <c r="B155" s="54">
        <v>1</v>
      </c>
      <c r="C155" s="155" t="str">
        <f t="shared" si="21"/>
        <v>0h5min</v>
      </c>
      <c r="D155" s="166" t="s">
        <v>118</v>
      </c>
      <c r="E155" s="243"/>
      <c r="F155" s="244"/>
      <c r="G155" s="51"/>
    </row>
    <row r="156" spans="1:7" s="52" customFormat="1" ht="15" thickBot="1" x14ac:dyDescent="0.35">
      <c r="A156" s="111" t="s">
        <v>28</v>
      </c>
      <c r="B156" s="84">
        <f>SUM(B152:B155)</f>
        <v>38</v>
      </c>
      <c r="C156" s="111" t="str">
        <f xml:space="preserve"> setValueToTime(B156)</f>
        <v>3h10min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7" t="s">
        <v>15</v>
      </c>
      <c r="F159" s="238"/>
      <c r="G159" s="46"/>
    </row>
    <row r="160" spans="1:7" s="52" customFormat="1" x14ac:dyDescent="0.3">
      <c r="A160" s="48" t="s">
        <v>97</v>
      </c>
      <c r="B160" s="49">
        <v>47</v>
      </c>
      <c r="C160" s="152" t="str">
        <f xml:space="preserve"> IF(B160="","",setValueToTime(B160))</f>
        <v>3h55min</v>
      </c>
      <c r="D160" s="165" t="s">
        <v>120</v>
      </c>
      <c r="E160" s="239"/>
      <c r="F160" s="240"/>
      <c r="G160" s="51"/>
    </row>
    <row r="161" spans="1:7" s="52" customFormat="1" ht="15" thickBot="1" x14ac:dyDescent="0.35">
      <c r="A161" s="53" t="s">
        <v>93</v>
      </c>
      <c r="B161" s="54">
        <v>1</v>
      </c>
      <c r="C161" s="153" t="str">
        <f t="shared" ref="C161" si="22" xml:space="preserve"> IF(B161="","",setValueToTime(B161))</f>
        <v>0h5min</v>
      </c>
      <c r="D161" s="166" t="s">
        <v>118</v>
      </c>
      <c r="E161" s="241"/>
      <c r="F161" s="242"/>
      <c r="G161" s="51"/>
    </row>
    <row r="162" spans="1:7" s="52" customFormat="1" ht="15" thickBot="1" x14ac:dyDescent="0.35">
      <c r="A162" s="111" t="s">
        <v>28</v>
      </c>
      <c r="B162" s="84">
        <f>SUM(B160:B161)</f>
        <v>48</v>
      </c>
      <c r="C162" s="111" t="str">
        <f xml:space="preserve"> setValueToTime(B162)</f>
        <v>4h</v>
      </c>
      <c r="D162" s="120"/>
      <c r="E162" s="235"/>
      <c r="F162" s="236"/>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7" t="s">
        <v>15</v>
      </c>
      <c r="F165" s="238"/>
      <c r="G165" s="46"/>
    </row>
    <row r="166" spans="1:7" s="52" customFormat="1" x14ac:dyDescent="0.3">
      <c r="A166" s="48" t="s">
        <v>97</v>
      </c>
      <c r="B166" s="49">
        <v>37</v>
      </c>
      <c r="C166" s="152" t="str">
        <f xml:space="preserve"> IF(B166="","",setValueToTime(B166))</f>
        <v>3h5min</v>
      </c>
      <c r="D166" s="165" t="s">
        <v>124</v>
      </c>
      <c r="E166" s="239"/>
      <c r="F166" s="240"/>
      <c r="G166" s="51"/>
    </row>
    <row r="167" spans="1:7" s="52" customFormat="1" ht="15" thickBot="1" x14ac:dyDescent="0.35">
      <c r="A167" s="53" t="s">
        <v>93</v>
      </c>
      <c r="B167" s="54">
        <v>1</v>
      </c>
      <c r="C167" s="153" t="str">
        <f t="shared" ref="C167" si="23" xml:space="preserve"> IF(B167="","",setValueToTime(B167))</f>
        <v>0h5min</v>
      </c>
      <c r="D167" s="166" t="s">
        <v>118</v>
      </c>
      <c r="E167" s="241"/>
      <c r="F167" s="242"/>
      <c r="G167" s="51"/>
    </row>
    <row r="168" spans="1:7" s="52" customFormat="1" ht="15" thickBot="1" x14ac:dyDescent="0.35">
      <c r="A168" s="111" t="s">
        <v>28</v>
      </c>
      <c r="B168" s="84">
        <f>SUM(B166:B167)</f>
        <v>38</v>
      </c>
      <c r="C168" s="111" t="str">
        <f xml:space="preserve"> setValueToTime(B168)</f>
        <v>3h10min</v>
      </c>
      <c r="D168" s="120"/>
      <c r="E168" s="235"/>
      <c r="F168" s="236"/>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 ref="E32:F32"/>
    <mergeCell ref="E33:F33"/>
    <mergeCell ref="E34:F34"/>
    <mergeCell ref="E35:F35"/>
    <mergeCell ref="E38:F38"/>
    <mergeCell ref="E39:F39"/>
    <mergeCell ref="E40:F40"/>
    <mergeCell ref="E41:F41"/>
    <mergeCell ref="E22:F22"/>
    <mergeCell ref="E26:F26"/>
    <mergeCell ref="E27:F27"/>
    <mergeCell ref="E28:F28"/>
    <mergeCell ref="E29:F29"/>
    <mergeCell ref="E54:F54"/>
    <mergeCell ref="E45:F45"/>
    <mergeCell ref="E46:F46"/>
    <mergeCell ref="E47:F47"/>
    <mergeCell ref="E48:F48"/>
    <mergeCell ref="E51:F51"/>
    <mergeCell ref="E52:F52"/>
    <mergeCell ref="E53:F53"/>
    <mergeCell ref="E42:F42"/>
    <mergeCell ref="E67:F67"/>
    <mergeCell ref="E57:F57"/>
    <mergeCell ref="E58:F58"/>
    <mergeCell ref="E59:F59"/>
    <mergeCell ref="E60:F60"/>
    <mergeCell ref="E63:F63"/>
    <mergeCell ref="E64:F64"/>
    <mergeCell ref="E65:F65"/>
    <mergeCell ref="E66:F66"/>
    <mergeCell ref="E81:F81"/>
    <mergeCell ref="E77:F77"/>
    <mergeCell ref="E78:F78"/>
    <mergeCell ref="E79:F79"/>
    <mergeCell ref="E80:F80"/>
    <mergeCell ref="E70:F70"/>
    <mergeCell ref="E71:F71"/>
    <mergeCell ref="E72:F72"/>
    <mergeCell ref="E73:F73"/>
    <mergeCell ref="E74:F74"/>
    <mergeCell ref="E94:F94"/>
    <mergeCell ref="E84:F84"/>
    <mergeCell ref="E85:F85"/>
    <mergeCell ref="E86:F86"/>
    <mergeCell ref="E87:F87"/>
    <mergeCell ref="E88:F88"/>
    <mergeCell ref="E91:F91"/>
    <mergeCell ref="E92:F92"/>
    <mergeCell ref="E93:F93"/>
    <mergeCell ref="E108:F108"/>
    <mergeCell ref="E97:F97"/>
    <mergeCell ref="E98:F98"/>
    <mergeCell ref="E99:F99"/>
    <mergeCell ref="E100:F100"/>
    <mergeCell ref="E101:F101"/>
    <mergeCell ref="E102:F102"/>
    <mergeCell ref="E105:F105"/>
    <mergeCell ref="E106:F106"/>
    <mergeCell ref="E107:F107"/>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42:F142"/>
    <mergeCell ref="E133:F133"/>
    <mergeCell ref="E134:F134"/>
    <mergeCell ref="E135:F135"/>
    <mergeCell ref="E136:F136"/>
    <mergeCell ref="E139:F139"/>
    <mergeCell ref="E140:F140"/>
    <mergeCell ref="E141:F141"/>
    <mergeCell ref="E130:F130"/>
    <mergeCell ref="E145:F145"/>
    <mergeCell ref="E146:F146"/>
    <mergeCell ref="E147:F147"/>
    <mergeCell ref="E148:F148"/>
    <mergeCell ref="E151:F151"/>
    <mergeCell ref="E152:F152"/>
    <mergeCell ref="E153:F153"/>
    <mergeCell ref="E154:F154"/>
    <mergeCell ref="E155:F155"/>
    <mergeCell ref="E168:F168"/>
    <mergeCell ref="E159:F159"/>
    <mergeCell ref="E160:F160"/>
    <mergeCell ref="E161:F161"/>
    <mergeCell ref="E165:F165"/>
    <mergeCell ref="E166:F166"/>
    <mergeCell ref="E167:F167"/>
    <mergeCell ref="E162:F162"/>
    <mergeCell ref="E156:F156"/>
  </mergeCells>
  <phoneticPr fontId="0" type="noConversion"/>
  <conditionalFormatting sqref="B168">
    <cfRule type="cellIs" dxfId="48" priority="34" operator="greaterThan">
      <formula>60</formula>
    </cfRule>
  </conditionalFormatting>
  <conditionalFormatting sqref="B162">
    <cfRule type="cellIs" dxfId="47" priority="33" operator="greaterThan">
      <formula>60</formula>
    </cfRule>
  </conditionalFormatting>
  <conditionalFormatting sqref="B156">
    <cfRule type="cellIs" dxfId="46" priority="32" operator="greaterThan">
      <formula>60</formula>
    </cfRule>
  </conditionalFormatting>
  <conditionalFormatting sqref="B148">
    <cfRule type="cellIs" dxfId="45" priority="31" operator="greaterThan">
      <formula>60</formula>
    </cfRule>
  </conditionalFormatting>
  <conditionalFormatting sqref="B142">
    <cfRule type="cellIs" dxfId="44" priority="30" operator="greaterThan">
      <formula>60</formula>
    </cfRule>
  </conditionalFormatting>
  <conditionalFormatting sqref="B136">
    <cfRule type="cellIs" dxfId="43" priority="29" operator="greaterThan">
      <formula>60</formula>
    </cfRule>
  </conditionalFormatting>
  <conditionalFormatting sqref="B130">
    <cfRule type="cellIs" dxfId="42" priority="28" operator="greaterThan">
      <formula>60</formula>
    </cfRule>
  </conditionalFormatting>
  <conditionalFormatting sqref="B124">
    <cfRule type="cellIs" dxfId="41" priority="27" operator="greaterThan">
      <formula>60</formula>
    </cfRule>
  </conditionalFormatting>
  <conditionalFormatting sqref="B118">
    <cfRule type="cellIs" dxfId="40" priority="26" operator="greaterThan">
      <formula>60</formula>
    </cfRule>
  </conditionalFormatting>
  <conditionalFormatting sqref="B113">
    <cfRule type="cellIs" dxfId="39" priority="25" operator="greaterThan">
      <formula>60</formula>
    </cfRule>
  </conditionalFormatting>
  <conditionalFormatting sqref="B108">
    <cfRule type="cellIs" dxfId="38" priority="24" operator="greaterThan">
      <formula>60</formula>
    </cfRule>
  </conditionalFormatting>
  <conditionalFormatting sqref="B102">
    <cfRule type="cellIs" dxfId="37" priority="23" operator="greaterThan">
      <formula>60</formula>
    </cfRule>
  </conditionalFormatting>
  <conditionalFormatting sqref="B94">
    <cfRule type="cellIs" dxfId="36" priority="22" operator="greaterThan">
      <formula>60</formula>
    </cfRule>
  </conditionalFormatting>
  <conditionalFormatting sqref="B88">
    <cfRule type="cellIs" dxfId="35" priority="21" operator="greaterThan">
      <formula>60</formula>
    </cfRule>
  </conditionalFormatting>
  <conditionalFormatting sqref="B81">
    <cfRule type="cellIs" dxfId="34" priority="20" operator="greaterThan">
      <formula>60</formula>
    </cfRule>
  </conditionalFormatting>
  <conditionalFormatting sqref="B74">
    <cfRule type="cellIs" dxfId="33" priority="15" operator="greaterThan">
      <formula>60</formula>
    </cfRule>
  </conditionalFormatting>
  <conditionalFormatting sqref="B67">
    <cfRule type="cellIs" dxfId="32" priority="14" operator="greaterThan">
      <formula>60</formula>
    </cfRule>
  </conditionalFormatting>
  <conditionalFormatting sqref="B60">
    <cfRule type="cellIs" dxfId="31" priority="13" operator="greaterThan">
      <formula>60</formula>
    </cfRule>
  </conditionalFormatting>
  <conditionalFormatting sqref="B54">
    <cfRule type="cellIs" dxfId="30" priority="12" operator="greaterThan">
      <formula>60</formula>
    </cfRule>
  </conditionalFormatting>
  <conditionalFormatting sqref="B48">
    <cfRule type="cellIs" dxfId="29" priority="11" operator="greaterThan">
      <formula>60</formula>
    </cfRule>
  </conditionalFormatting>
  <conditionalFormatting sqref="B42">
    <cfRule type="cellIs" dxfId="28" priority="10" operator="greaterThan">
      <formula>60</formula>
    </cfRule>
  </conditionalFormatting>
  <conditionalFormatting sqref="B35">
    <cfRule type="cellIs" dxfId="27" priority="9" operator="greaterThan">
      <formula>60</formula>
    </cfRule>
  </conditionalFormatting>
  <conditionalFormatting sqref="B29">
    <cfRule type="cellIs" dxfId="26" priority="7" operator="greaterThan">
      <formula>60</formula>
    </cfRule>
  </conditionalFormatting>
  <conditionalFormatting sqref="B23">
    <cfRule type="cellIs" dxfId="25" priority="6" operator="greaterThan">
      <formula>60</formula>
    </cfRule>
  </conditionalFormatting>
  <conditionalFormatting sqref="B17">
    <cfRule type="cellIs" dxfId="24" priority="5" operator="greaterThan">
      <formula>60</formula>
    </cfRule>
  </conditionalFormatting>
  <conditionalFormatting sqref="B11">
    <cfRule type="cellIs" dxfId="23" priority="4" operator="greaterThan">
      <formula>60</formula>
    </cfRule>
  </conditionalFormatting>
  <conditionalFormatting sqref="B5">
    <cfRule type="cellIs" dxfId="22"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41"/>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20</v>
      </c>
      <c r="C2" s="164"/>
      <c r="D2" s="157" t="s">
        <v>16</v>
      </c>
      <c r="E2" s="158" t="s">
        <v>55</v>
      </c>
      <c r="F2" s="159" t="s">
        <v>44</v>
      </c>
      <c r="G2" s="46"/>
    </row>
    <row r="3" spans="1:7" s="47" customFormat="1" ht="30" customHeight="1" thickBot="1" x14ac:dyDescent="0.3">
      <c r="A3" s="78" t="s">
        <v>5</v>
      </c>
      <c r="B3" s="161" t="s">
        <v>39</v>
      </c>
      <c r="C3" s="160"/>
      <c r="D3" s="78" t="s">
        <v>14</v>
      </c>
      <c r="E3" s="248" t="s">
        <v>15</v>
      </c>
      <c r="F3" s="249"/>
      <c r="G3" s="46"/>
    </row>
    <row r="4" spans="1:7" s="52" customFormat="1" x14ac:dyDescent="0.3">
      <c r="A4" s="48" t="s">
        <v>98</v>
      </c>
      <c r="B4" s="49">
        <v>34</v>
      </c>
      <c r="C4" s="152" t="str">
        <f xml:space="preserve"> IF(B4="","",setValueToTime(B4))</f>
        <v>2h50min</v>
      </c>
      <c r="D4" s="165" t="s">
        <v>217</v>
      </c>
      <c r="E4" s="239"/>
      <c r="F4" s="240"/>
      <c r="G4" s="51"/>
    </row>
    <row r="5" spans="1:7" s="52" customFormat="1" ht="27" x14ac:dyDescent="0.3">
      <c r="A5" s="53" t="s">
        <v>93</v>
      </c>
      <c r="B5" s="54">
        <v>2</v>
      </c>
      <c r="C5" s="153" t="str">
        <f t="shared" ref="C5:C11" si="0" xml:space="preserve"> IF(B5="","",setValueToTime(B5))</f>
        <v>0h10min</v>
      </c>
      <c r="D5" s="166" t="s">
        <v>218</v>
      </c>
      <c r="E5" s="241"/>
      <c r="F5" s="242"/>
      <c r="G5" s="51"/>
    </row>
    <row r="6" spans="1:7" s="52" customFormat="1" ht="27" x14ac:dyDescent="0.3">
      <c r="A6" s="53" t="s">
        <v>89</v>
      </c>
      <c r="B6" s="54">
        <v>2</v>
      </c>
      <c r="C6" s="153" t="str">
        <f t="shared" si="0"/>
        <v>0h10min</v>
      </c>
      <c r="D6" s="166" t="s">
        <v>219</v>
      </c>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28</v>
      </c>
      <c r="B12" s="83">
        <f>SUM(B4:B11)</f>
        <v>38</v>
      </c>
      <c r="C12" s="162" t="str">
        <f xml:space="preserve"> setValueToTime(B12)</f>
        <v>3h10min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19</v>
      </c>
      <c r="C14" s="164"/>
      <c r="D14" s="157" t="s">
        <v>16</v>
      </c>
      <c r="E14" s="158" t="s">
        <v>55</v>
      </c>
      <c r="F14" s="159" t="s">
        <v>45</v>
      </c>
      <c r="G14" s="46"/>
    </row>
    <row r="15" spans="1:7" s="47" customFormat="1" ht="30" customHeight="1" thickBot="1" x14ac:dyDescent="0.3">
      <c r="A15" s="78" t="s">
        <v>5</v>
      </c>
      <c r="B15" s="161" t="s">
        <v>39</v>
      </c>
      <c r="C15" s="160"/>
      <c r="D15" s="78" t="s">
        <v>14</v>
      </c>
      <c r="E15" s="248" t="s">
        <v>15</v>
      </c>
      <c r="F15" s="249"/>
      <c r="G15" s="46"/>
    </row>
    <row r="16" spans="1:7" s="52" customFormat="1" ht="108" x14ac:dyDescent="0.3">
      <c r="A16" s="48" t="s">
        <v>106</v>
      </c>
      <c r="B16" s="49">
        <v>14</v>
      </c>
      <c r="C16" s="152" t="str">
        <f xml:space="preserve"> IF(B16="","",setValueToTime(B16))</f>
        <v>1h10min</v>
      </c>
      <c r="D16" s="165" t="s">
        <v>214</v>
      </c>
      <c r="E16" s="239"/>
      <c r="F16" s="240"/>
      <c r="G16" s="51"/>
    </row>
    <row r="17" spans="1:7" s="52" customFormat="1" x14ac:dyDescent="0.3">
      <c r="A17" s="53" t="s">
        <v>98</v>
      </c>
      <c r="B17" s="54">
        <v>34</v>
      </c>
      <c r="C17" s="153" t="str">
        <f t="shared" ref="C17:C23" si="1" xml:space="preserve"> IF(B17="","",setValueToTime(B17))</f>
        <v>2h50min</v>
      </c>
      <c r="D17" s="166" t="s">
        <v>216</v>
      </c>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28</v>
      </c>
      <c r="B24" s="83">
        <f>SUM(B16:B23)</f>
        <v>48</v>
      </c>
      <c r="C24" s="162" t="str">
        <f xml:space="preserve"> setValueToTime(B24)</f>
        <v>4h</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18</v>
      </c>
      <c r="C26" s="164"/>
      <c r="D26" s="157" t="s">
        <v>16</v>
      </c>
      <c r="E26" s="158" t="s">
        <v>58</v>
      </c>
      <c r="F26" s="159" t="s">
        <v>44</v>
      </c>
      <c r="G26" s="46"/>
    </row>
    <row r="27" spans="1:7" s="47" customFormat="1" ht="30" customHeight="1" thickBot="1" x14ac:dyDescent="0.3">
      <c r="A27" s="78" t="s">
        <v>5</v>
      </c>
      <c r="B27" s="161" t="s">
        <v>39</v>
      </c>
      <c r="C27" s="160"/>
      <c r="D27" s="78" t="s">
        <v>14</v>
      </c>
      <c r="E27" s="248" t="s">
        <v>15</v>
      </c>
      <c r="F27" s="249"/>
      <c r="G27" s="46"/>
    </row>
    <row r="28" spans="1:7" s="52" customFormat="1" x14ac:dyDescent="0.3">
      <c r="A28" s="48" t="s">
        <v>4</v>
      </c>
      <c r="B28" s="49">
        <v>1</v>
      </c>
      <c r="C28" s="152" t="str">
        <f xml:space="preserve"> IF(B28="","",setValueToTime(B28))</f>
        <v>0h5min</v>
      </c>
      <c r="D28" s="165" t="s">
        <v>210</v>
      </c>
      <c r="E28" s="239"/>
      <c r="F28" s="240"/>
      <c r="G28" s="51"/>
    </row>
    <row r="29" spans="1:7" s="52" customFormat="1" ht="40.5" x14ac:dyDescent="0.3">
      <c r="A29" s="53" t="s">
        <v>116</v>
      </c>
      <c r="B29" s="54">
        <v>12</v>
      </c>
      <c r="C29" s="153" t="str">
        <f t="shared" ref="C29:C35" si="2" xml:space="preserve"> IF(B29="","",setValueToTime(B29))</f>
        <v>1h</v>
      </c>
      <c r="D29" s="166" t="s">
        <v>211</v>
      </c>
      <c r="E29" s="241"/>
      <c r="F29" s="242"/>
      <c r="G29" s="51"/>
    </row>
    <row r="30" spans="1:7" s="52" customFormat="1" ht="54" x14ac:dyDescent="0.3">
      <c r="A30" s="53" t="s">
        <v>106</v>
      </c>
      <c r="B30" s="54">
        <v>16</v>
      </c>
      <c r="C30" s="153" t="str">
        <f t="shared" si="2"/>
        <v>1h20min</v>
      </c>
      <c r="D30" s="166" t="s">
        <v>212</v>
      </c>
      <c r="E30" s="241"/>
      <c r="F30" s="242"/>
      <c r="G30" s="51"/>
    </row>
    <row r="31" spans="1:7" s="52" customFormat="1" ht="27" x14ac:dyDescent="0.3">
      <c r="A31" s="53" t="s">
        <v>109</v>
      </c>
      <c r="B31" s="54">
        <v>5</v>
      </c>
      <c r="C31" s="153" t="str">
        <f t="shared" si="2"/>
        <v>0h25min</v>
      </c>
      <c r="D31" s="166" t="s">
        <v>213</v>
      </c>
      <c r="E31" s="241"/>
      <c r="F31" s="242"/>
      <c r="G31" s="51"/>
    </row>
    <row r="32" spans="1:7" s="52" customFormat="1" ht="27" x14ac:dyDescent="0.3">
      <c r="A32" s="54" t="s">
        <v>89</v>
      </c>
      <c r="B32" s="54">
        <v>4</v>
      </c>
      <c r="C32" s="154" t="str">
        <f t="shared" si="2"/>
        <v>0h20min</v>
      </c>
      <c r="D32" s="166" t="s">
        <v>215</v>
      </c>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17</v>
      </c>
      <c r="C38" s="164"/>
      <c r="D38" s="157" t="s">
        <v>16</v>
      </c>
      <c r="E38" s="158" t="s">
        <v>58</v>
      </c>
      <c r="F38" s="159" t="s">
        <v>45</v>
      </c>
      <c r="G38" s="46"/>
    </row>
    <row r="39" spans="1:7" s="47" customFormat="1" ht="30" customHeight="1" thickBot="1" x14ac:dyDescent="0.3">
      <c r="A39" s="78" t="s">
        <v>5</v>
      </c>
      <c r="B39" s="161" t="s">
        <v>39</v>
      </c>
      <c r="C39" s="160"/>
      <c r="D39" s="78" t="s">
        <v>14</v>
      </c>
      <c r="E39" s="248" t="s">
        <v>15</v>
      </c>
      <c r="F39" s="249"/>
      <c r="G39" s="46"/>
    </row>
    <row r="40" spans="1:7" s="52" customFormat="1" ht="67.5" x14ac:dyDescent="0.3">
      <c r="A40" s="48" t="s">
        <v>117</v>
      </c>
      <c r="B40" s="49">
        <v>5</v>
      </c>
      <c r="C40" s="152" t="str">
        <f xml:space="preserve"> IF(B40="","",setValueToTime(B40))</f>
        <v>0h25min</v>
      </c>
      <c r="D40" s="165" t="s">
        <v>208</v>
      </c>
      <c r="E40" s="239"/>
      <c r="F40" s="240"/>
      <c r="G40" s="51"/>
    </row>
    <row r="41" spans="1:7" s="52" customFormat="1" ht="94.5" x14ac:dyDescent="0.3">
      <c r="A41" s="53" t="s">
        <v>107</v>
      </c>
      <c r="B41" s="54">
        <v>43</v>
      </c>
      <c r="C41" s="153" t="str">
        <f t="shared" ref="C41:C47" si="3" xml:space="preserve"> IF(B41="","",setValueToTime(B41))</f>
        <v>3h35min</v>
      </c>
      <c r="D41" s="166" t="s">
        <v>209</v>
      </c>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28</v>
      </c>
      <c r="B48" s="83">
        <f>SUM(B40:B47)</f>
        <v>48</v>
      </c>
      <c r="C48" s="162" t="str">
        <f xml:space="preserve"> setValueToTime(B48)</f>
        <v>4h</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16</v>
      </c>
      <c r="C50" s="164"/>
      <c r="D50" s="157" t="s">
        <v>16</v>
      </c>
      <c r="E50" s="158" t="s">
        <v>61</v>
      </c>
      <c r="F50" s="159" t="s">
        <v>45</v>
      </c>
      <c r="G50" s="46"/>
    </row>
    <row r="51" spans="1:7" s="47" customFormat="1" ht="30" customHeight="1" thickBot="1" x14ac:dyDescent="0.3">
      <c r="A51" s="78" t="s">
        <v>5</v>
      </c>
      <c r="B51" s="161" t="s">
        <v>39</v>
      </c>
      <c r="C51" s="160"/>
      <c r="D51" s="78" t="s">
        <v>14</v>
      </c>
      <c r="E51" s="248" t="s">
        <v>15</v>
      </c>
      <c r="F51" s="249"/>
      <c r="G51" s="46"/>
    </row>
    <row r="52" spans="1:7" s="52" customFormat="1" ht="54" x14ac:dyDescent="0.3">
      <c r="A52" s="48" t="s">
        <v>98</v>
      </c>
      <c r="B52" s="49">
        <v>36</v>
      </c>
      <c r="C52" s="152" t="str">
        <f xml:space="preserve"> IF(B52="","",setValueToTime(B52))</f>
        <v>3h</v>
      </c>
      <c r="D52" s="165" t="s">
        <v>207</v>
      </c>
      <c r="E52" s="239"/>
      <c r="F52" s="240"/>
      <c r="G52" s="51"/>
    </row>
    <row r="53" spans="1:7" s="52" customFormat="1" ht="27" x14ac:dyDescent="0.3">
      <c r="A53" s="53" t="s">
        <v>93</v>
      </c>
      <c r="B53" s="54">
        <v>2</v>
      </c>
      <c r="C53" s="153" t="str">
        <f t="shared" ref="C53:C59" si="4" xml:space="preserve"> IF(B53="","",setValueToTime(B53))</f>
        <v>0h10min</v>
      </c>
      <c r="D53" s="166" t="s">
        <v>91</v>
      </c>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62" t="s">
        <v>28</v>
      </c>
      <c r="B60" s="83">
        <f>SUM(B52:B59)</f>
        <v>38</v>
      </c>
      <c r="C60" s="162" t="str">
        <f xml:space="preserve"> setValueToTime(B60)</f>
        <v>3h10min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15</v>
      </c>
      <c r="C62" s="164"/>
      <c r="D62" s="157" t="s">
        <v>16</v>
      </c>
      <c r="E62" s="158" t="s">
        <v>67</v>
      </c>
      <c r="F62" s="159" t="s">
        <v>44</v>
      </c>
      <c r="G62" s="46"/>
    </row>
    <row r="63" spans="1:7" s="47" customFormat="1" ht="30" customHeight="1" thickBot="1" x14ac:dyDescent="0.3">
      <c r="A63" s="78" t="s">
        <v>5</v>
      </c>
      <c r="B63" s="161" t="s">
        <v>39</v>
      </c>
      <c r="C63" s="160"/>
      <c r="D63" s="78" t="s">
        <v>14</v>
      </c>
      <c r="E63" s="248" t="s">
        <v>15</v>
      </c>
      <c r="F63" s="249"/>
      <c r="G63" s="46"/>
    </row>
    <row r="64" spans="1:7" s="52" customFormat="1" ht="27" x14ac:dyDescent="0.3">
      <c r="A64" s="48" t="s">
        <v>95</v>
      </c>
      <c r="B64" s="49">
        <v>15</v>
      </c>
      <c r="C64" s="152" t="str">
        <f xml:space="preserve"> IF(B64="","",setValueToTime(B64))</f>
        <v>1h15min</v>
      </c>
      <c r="D64" s="165" t="s">
        <v>205</v>
      </c>
      <c r="E64" s="239"/>
      <c r="F64" s="240"/>
      <c r="G64" s="51"/>
    </row>
    <row r="65" spans="1:7" s="52" customFormat="1" ht="54" x14ac:dyDescent="0.3">
      <c r="A65" s="53" t="s">
        <v>112</v>
      </c>
      <c r="B65" s="54">
        <v>23</v>
      </c>
      <c r="C65" s="153" t="str">
        <f t="shared" ref="C65:C71" si="5" xml:space="preserve"> IF(B65="","",setValueToTime(B65))</f>
        <v>1h55min</v>
      </c>
      <c r="D65" s="166" t="s">
        <v>206</v>
      </c>
      <c r="E65" s="241"/>
      <c r="F65" s="242"/>
      <c r="G65" s="51"/>
    </row>
    <row r="66" spans="1:7" s="52" customFormat="1" x14ac:dyDescent="0.3">
      <c r="A66" s="53"/>
      <c r="B66" s="54"/>
      <c r="C66" s="153" t="str">
        <f t="shared" si="5"/>
        <v/>
      </c>
      <c r="D66" s="55"/>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14</v>
      </c>
      <c r="C74" s="164"/>
      <c r="D74" s="157" t="s">
        <v>16</v>
      </c>
      <c r="E74" s="158" t="s">
        <v>67</v>
      </c>
      <c r="F74" s="159" t="s">
        <v>45</v>
      </c>
      <c r="G74" s="46"/>
    </row>
    <row r="75" spans="1:7" s="47" customFormat="1" ht="30" customHeight="1" thickBot="1" x14ac:dyDescent="0.3">
      <c r="A75" s="78" t="s">
        <v>5</v>
      </c>
      <c r="B75" s="161" t="s">
        <v>39</v>
      </c>
      <c r="C75" s="160"/>
      <c r="D75" s="78" t="s">
        <v>14</v>
      </c>
      <c r="E75" s="248" t="s">
        <v>15</v>
      </c>
      <c r="F75" s="249"/>
      <c r="G75" s="46"/>
    </row>
    <row r="76" spans="1:7" s="52" customFormat="1" ht="40.5" x14ac:dyDescent="0.3">
      <c r="A76" s="48" t="s">
        <v>96</v>
      </c>
      <c r="B76" s="49">
        <v>35</v>
      </c>
      <c r="C76" s="152" t="str">
        <f xml:space="preserve"> IF(B76="","",setValueToTime(B76))</f>
        <v>2h55min</v>
      </c>
      <c r="D76" s="165" t="s">
        <v>203</v>
      </c>
      <c r="E76" s="239"/>
      <c r="F76" s="240"/>
      <c r="G76" s="51"/>
    </row>
    <row r="77" spans="1:7" s="52" customFormat="1" ht="54" x14ac:dyDescent="0.3">
      <c r="A77" s="53" t="s">
        <v>112</v>
      </c>
      <c r="B77" s="54">
        <v>13</v>
      </c>
      <c r="C77" s="153" t="str">
        <f t="shared" ref="C77:C83" si="6" xml:space="preserve"> IF(B77="","",setValueToTime(B77))</f>
        <v>1h5min</v>
      </c>
      <c r="D77" s="166" t="s">
        <v>204</v>
      </c>
      <c r="E77" s="241"/>
      <c r="F77" s="242"/>
      <c r="G77" s="51"/>
    </row>
    <row r="78" spans="1:7" s="52" customFormat="1" x14ac:dyDescent="0.3">
      <c r="A78" s="53"/>
      <c r="B78" s="54"/>
      <c r="C78" s="153" t="str">
        <f t="shared" si="6"/>
        <v/>
      </c>
      <c r="D78" s="55"/>
      <c r="E78" s="241"/>
      <c r="F78" s="242"/>
      <c r="G78" s="51"/>
    </row>
    <row r="79" spans="1:7" s="52" customFormat="1" x14ac:dyDescent="0.3">
      <c r="A79" s="53"/>
      <c r="B79" s="54"/>
      <c r="C79" s="153" t="str">
        <f t="shared" si="6"/>
        <v/>
      </c>
      <c r="D79" s="55"/>
      <c r="E79" s="241"/>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3"/>
      <c r="F83" s="244"/>
      <c r="G83" s="51"/>
    </row>
    <row r="84" spans="1:7" s="52" customFormat="1" ht="15" thickBot="1" x14ac:dyDescent="0.35">
      <c r="A84" s="162" t="s">
        <v>28</v>
      </c>
      <c r="B84" s="83">
        <f>SUM(B76:B83)</f>
        <v>48</v>
      </c>
      <c r="C84" s="162" t="str">
        <f xml:space="preserve"> setValueToTime(B84)</f>
        <v>4h</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13</v>
      </c>
      <c r="C86" s="164"/>
      <c r="D86" s="157" t="s">
        <v>16</v>
      </c>
      <c r="E86" s="158" t="s">
        <v>70</v>
      </c>
      <c r="F86" s="159" t="s">
        <v>45</v>
      </c>
      <c r="G86" s="46"/>
    </row>
    <row r="87" spans="1:7" s="47" customFormat="1" ht="30" customHeight="1" thickBot="1" x14ac:dyDescent="0.3">
      <c r="A87" s="78" t="s">
        <v>5</v>
      </c>
      <c r="B87" s="161" t="s">
        <v>39</v>
      </c>
      <c r="C87" s="160"/>
      <c r="D87" s="78" t="s">
        <v>14</v>
      </c>
      <c r="E87" s="248" t="s">
        <v>15</v>
      </c>
      <c r="F87" s="249"/>
      <c r="G87" s="46"/>
    </row>
    <row r="88" spans="1:7" s="52" customFormat="1" ht="40.5" x14ac:dyDescent="0.3">
      <c r="A88" s="48" t="s">
        <v>104</v>
      </c>
      <c r="B88" s="49">
        <v>6</v>
      </c>
      <c r="C88" s="152" t="str">
        <f xml:space="preserve"> IF(B88="","",setValueToTime(B88))</f>
        <v>0h30min</v>
      </c>
      <c r="D88" s="165" t="s">
        <v>200</v>
      </c>
      <c r="E88" s="239"/>
      <c r="F88" s="240"/>
      <c r="G88" s="51"/>
    </row>
    <row r="89" spans="1:7" s="52" customFormat="1" ht="40.5" x14ac:dyDescent="0.3">
      <c r="A89" s="53" t="s">
        <v>96</v>
      </c>
      <c r="B89" s="54">
        <v>10</v>
      </c>
      <c r="C89" s="153" t="str">
        <f t="shared" ref="C89:C95" si="7" xml:space="preserve"> IF(B89="","",setValueToTime(B89))</f>
        <v>0h50min</v>
      </c>
      <c r="D89" s="166" t="s">
        <v>201</v>
      </c>
      <c r="E89" s="241"/>
      <c r="F89" s="242"/>
      <c r="G89" s="51"/>
    </row>
    <row r="90" spans="1:7" s="52" customFormat="1" ht="40.5" x14ac:dyDescent="0.3">
      <c r="A90" s="53" t="s">
        <v>96</v>
      </c>
      <c r="B90" s="54">
        <v>20</v>
      </c>
      <c r="C90" s="153" t="str">
        <f t="shared" si="7"/>
        <v>1h40min</v>
      </c>
      <c r="D90" s="166" t="s">
        <v>202</v>
      </c>
      <c r="E90" s="241"/>
      <c r="F90" s="242"/>
      <c r="G90" s="51"/>
    </row>
    <row r="91" spans="1:7" s="52" customFormat="1" ht="27" x14ac:dyDescent="0.3">
      <c r="A91" s="53" t="s">
        <v>93</v>
      </c>
      <c r="B91" s="54">
        <v>2</v>
      </c>
      <c r="C91" s="153" t="str">
        <f t="shared" si="7"/>
        <v>0h10min</v>
      </c>
      <c r="D91" s="166" t="s">
        <v>91</v>
      </c>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3"/>
      <c r="F95" s="244"/>
      <c r="G95" s="51"/>
    </row>
    <row r="96" spans="1:7" s="52" customFormat="1" ht="15" thickBot="1" x14ac:dyDescent="0.35">
      <c r="A96" s="162" t="s">
        <v>28</v>
      </c>
      <c r="B96" s="83">
        <f>SUM(B88:B95)</f>
        <v>38</v>
      </c>
      <c r="C96" s="162" t="str">
        <f xml:space="preserve"> setValueToTime(B96)</f>
        <v>3h10min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12</v>
      </c>
      <c r="C98" s="164"/>
      <c r="D98" s="157" t="s">
        <v>16</v>
      </c>
      <c r="E98" s="158" t="s">
        <v>72</v>
      </c>
      <c r="F98" s="159" t="s">
        <v>44</v>
      </c>
      <c r="G98" s="46"/>
    </row>
    <row r="99" spans="1:7" s="47" customFormat="1" ht="30" customHeight="1" thickBot="1" x14ac:dyDescent="0.3">
      <c r="A99" s="78" t="s">
        <v>5</v>
      </c>
      <c r="B99" s="161" t="s">
        <v>39</v>
      </c>
      <c r="C99" s="160"/>
      <c r="D99" s="78" t="s">
        <v>14</v>
      </c>
      <c r="E99" s="248" t="s">
        <v>15</v>
      </c>
      <c r="F99" s="249"/>
      <c r="G99" s="46"/>
    </row>
    <row r="100" spans="1:7" s="52" customFormat="1" ht="40.5" x14ac:dyDescent="0.3">
      <c r="A100" s="48" t="s">
        <v>105</v>
      </c>
      <c r="B100" s="49">
        <v>16</v>
      </c>
      <c r="C100" s="152" t="str">
        <f xml:space="preserve"> IF(B100="","",setValueToTime(B100))</f>
        <v>1h20min</v>
      </c>
      <c r="D100" s="165" t="s">
        <v>197</v>
      </c>
      <c r="E100" s="239"/>
      <c r="F100" s="240"/>
      <c r="G100" s="51"/>
    </row>
    <row r="101" spans="1:7" s="52" customFormat="1" ht="40.5" x14ac:dyDescent="0.3">
      <c r="A101" s="53" t="s">
        <v>104</v>
      </c>
      <c r="B101" s="54">
        <v>10</v>
      </c>
      <c r="C101" s="153" t="str">
        <f t="shared" ref="C101:C107" si="8" xml:space="preserve"> IF(B101="","",setValueToTime(B101))</f>
        <v>0h50min</v>
      </c>
      <c r="D101" s="166" t="s">
        <v>198</v>
      </c>
      <c r="E101" s="241"/>
      <c r="F101" s="242"/>
      <c r="G101" s="51"/>
    </row>
    <row r="102" spans="1:7" s="52" customFormat="1" ht="54" x14ac:dyDescent="0.3">
      <c r="A102" s="53" t="s">
        <v>113</v>
      </c>
      <c r="B102" s="54">
        <v>12</v>
      </c>
      <c r="C102" s="153" t="str">
        <f t="shared" si="8"/>
        <v>1h</v>
      </c>
      <c r="D102" s="166" t="s">
        <v>199</v>
      </c>
      <c r="E102" s="241"/>
      <c r="F102" s="242"/>
      <c r="G102" s="51"/>
    </row>
    <row r="103" spans="1:7" s="52" customFormat="1" x14ac:dyDescent="0.3">
      <c r="A103" s="53"/>
      <c r="B103" s="54"/>
      <c r="C103" s="153" t="str">
        <f t="shared" si="8"/>
        <v/>
      </c>
      <c r="D103" s="55"/>
      <c r="E103" s="241"/>
      <c r="F103" s="242"/>
      <c r="G103" s="51"/>
    </row>
    <row r="104" spans="1:7" s="52" customFormat="1" x14ac:dyDescent="0.3">
      <c r="A104" s="54"/>
      <c r="B104" s="54"/>
      <c r="C104" s="154" t="str">
        <f t="shared" si="8"/>
        <v/>
      </c>
      <c r="D104" s="55"/>
      <c r="E104" s="241"/>
      <c r="F104" s="242"/>
      <c r="G104" s="51"/>
    </row>
    <row r="105" spans="1:7" s="52" customFormat="1" x14ac:dyDescent="0.3">
      <c r="A105" s="54"/>
      <c r="B105" s="54"/>
      <c r="C105" s="154" t="str">
        <f t="shared" si="8"/>
        <v/>
      </c>
      <c r="D105" s="55"/>
      <c r="E105" s="241"/>
      <c r="F105" s="242"/>
      <c r="G105" s="51"/>
    </row>
    <row r="106" spans="1:7" s="52" customFormat="1" x14ac:dyDescent="0.3">
      <c r="A106" s="54"/>
      <c r="B106" s="54"/>
      <c r="C106" s="154" t="str">
        <f t="shared" si="8"/>
        <v/>
      </c>
      <c r="D106" s="55"/>
      <c r="E106" s="241"/>
      <c r="F106" s="242"/>
      <c r="G106" s="51"/>
    </row>
    <row r="107" spans="1:7" s="52" customFormat="1" ht="15" thickBot="1" x14ac:dyDescent="0.35">
      <c r="A107" s="56"/>
      <c r="B107" s="56"/>
      <c r="C107" s="155" t="str">
        <f t="shared" si="8"/>
        <v/>
      </c>
      <c r="D107" s="57"/>
      <c r="E107" s="243"/>
      <c r="F107" s="244"/>
      <c r="G107" s="51"/>
    </row>
    <row r="108" spans="1:7" s="52" customFormat="1" ht="15" thickBot="1" x14ac:dyDescent="0.35">
      <c r="A108" s="162" t="s">
        <v>28</v>
      </c>
      <c r="B108" s="83">
        <f>SUM(B100:B107)</f>
        <v>38</v>
      </c>
      <c r="C108" s="162" t="str">
        <f xml:space="preserve"> setValueToTime(B108)</f>
        <v>3h10min</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11</v>
      </c>
      <c r="C110" s="164"/>
      <c r="D110" s="157" t="s">
        <v>16</v>
      </c>
      <c r="E110" s="158" t="s">
        <v>72</v>
      </c>
      <c r="F110" s="159" t="s">
        <v>45</v>
      </c>
      <c r="G110" s="46"/>
    </row>
    <row r="111" spans="1:7" s="47" customFormat="1" ht="30" customHeight="1" thickBot="1" x14ac:dyDescent="0.3">
      <c r="A111" s="78" t="s">
        <v>5</v>
      </c>
      <c r="B111" s="161" t="s">
        <v>39</v>
      </c>
      <c r="C111" s="160"/>
      <c r="D111" s="78" t="s">
        <v>14</v>
      </c>
      <c r="E111" s="248" t="s">
        <v>15</v>
      </c>
      <c r="F111" s="249"/>
      <c r="G111" s="46"/>
    </row>
    <row r="112" spans="1:7" s="52" customFormat="1" x14ac:dyDescent="0.3">
      <c r="A112" s="48" t="s">
        <v>4</v>
      </c>
      <c r="B112" s="49">
        <v>3</v>
      </c>
      <c r="C112" s="152" t="str">
        <f xml:space="preserve"> IF(B112="","",setValueToTime(B112))</f>
        <v>0h15min</v>
      </c>
      <c r="D112" s="165" t="s">
        <v>191</v>
      </c>
      <c r="E112" s="239"/>
      <c r="F112" s="240"/>
      <c r="G112" s="51"/>
    </row>
    <row r="113" spans="1:7" s="52" customFormat="1" ht="27" x14ac:dyDescent="0.3">
      <c r="A113" s="53" t="s">
        <v>110</v>
      </c>
      <c r="B113" s="54">
        <v>4</v>
      </c>
      <c r="C113" s="153" t="str">
        <f t="shared" ref="C113:C119" si="9" xml:space="preserve"> IF(B113="","",setValueToTime(B113))</f>
        <v>0h20min</v>
      </c>
      <c r="D113" s="166" t="s">
        <v>192</v>
      </c>
      <c r="E113" s="241"/>
      <c r="F113" s="242"/>
      <c r="G113" s="51"/>
    </row>
    <row r="114" spans="1:7" s="52" customFormat="1" ht="27" x14ac:dyDescent="0.3">
      <c r="A114" s="53" t="s">
        <v>114</v>
      </c>
      <c r="B114" s="54">
        <v>17</v>
      </c>
      <c r="C114" s="153" t="str">
        <f t="shared" si="9"/>
        <v>1h25min</v>
      </c>
      <c r="D114" s="166" t="s">
        <v>193</v>
      </c>
      <c r="E114" s="241"/>
      <c r="F114" s="242"/>
      <c r="G114" s="51"/>
    </row>
    <row r="115" spans="1:7" s="52" customFormat="1" ht="27" x14ac:dyDescent="0.3">
      <c r="A115" s="53" t="s">
        <v>111</v>
      </c>
      <c r="B115" s="54">
        <v>14</v>
      </c>
      <c r="C115" s="153" t="str">
        <f t="shared" si="9"/>
        <v>1h10min</v>
      </c>
      <c r="D115" s="166" t="s">
        <v>194</v>
      </c>
      <c r="E115" s="241"/>
      <c r="F115" s="242"/>
      <c r="G115" s="51"/>
    </row>
    <row r="116" spans="1:7" s="52" customFormat="1" x14ac:dyDescent="0.3">
      <c r="A116" s="54"/>
      <c r="B116" s="54"/>
      <c r="C116" s="154" t="str">
        <f t="shared" si="9"/>
        <v/>
      </c>
      <c r="D116" s="55"/>
      <c r="E116" s="241"/>
      <c r="F116" s="242"/>
      <c r="G116" s="51"/>
    </row>
    <row r="117" spans="1:7" s="52" customFormat="1" x14ac:dyDescent="0.3">
      <c r="A117" s="54"/>
      <c r="B117" s="54"/>
      <c r="C117" s="154" t="str">
        <f t="shared" si="9"/>
        <v/>
      </c>
      <c r="D117" s="55"/>
      <c r="E117" s="241"/>
      <c r="F117" s="242"/>
      <c r="G117" s="51"/>
    </row>
    <row r="118" spans="1:7" s="52" customFormat="1" x14ac:dyDescent="0.3">
      <c r="A118" s="54"/>
      <c r="B118" s="54"/>
      <c r="C118" s="154" t="str">
        <f t="shared" si="9"/>
        <v/>
      </c>
      <c r="D118" s="55"/>
      <c r="E118" s="241"/>
      <c r="F118" s="242"/>
      <c r="G118" s="51"/>
    </row>
    <row r="119" spans="1:7" s="52" customFormat="1" ht="15" thickBot="1" x14ac:dyDescent="0.35">
      <c r="A119" s="56"/>
      <c r="B119" s="56"/>
      <c r="C119" s="155" t="str">
        <f t="shared" si="9"/>
        <v/>
      </c>
      <c r="D119" s="57"/>
      <c r="E119" s="243"/>
      <c r="F119" s="244"/>
      <c r="G119" s="51"/>
    </row>
    <row r="120" spans="1:7" s="52" customFormat="1" ht="15" thickBot="1" x14ac:dyDescent="0.35">
      <c r="A120" s="162" t="s">
        <v>28</v>
      </c>
      <c r="B120" s="83">
        <f>SUM(B112:B119)</f>
        <v>38</v>
      </c>
      <c r="C120" s="162" t="str">
        <f xml:space="preserve"> setValueToTime(B120)</f>
        <v>3h10min</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10</v>
      </c>
      <c r="C122" s="164"/>
      <c r="D122" s="157" t="s">
        <v>16</v>
      </c>
      <c r="E122" s="158" t="s">
        <v>75</v>
      </c>
      <c r="F122" s="159" t="s">
        <v>44</v>
      </c>
      <c r="G122" s="46"/>
    </row>
    <row r="123" spans="1:7" s="47" customFormat="1" ht="30" customHeight="1" thickBot="1" x14ac:dyDescent="0.3">
      <c r="A123" s="78" t="s">
        <v>5</v>
      </c>
      <c r="B123" s="161" t="s">
        <v>39</v>
      </c>
      <c r="C123" s="160"/>
      <c r="D123" s="78" t="s">
        <v>14</v>
      </c>
      <c r="E123" s="248" t="s">
        <v>15</v>
      </c>
      <c r="F123" s="249"/>
      <c r="G123" s="46"/>
    </row>
    <row r="124" spans="1:7" s="52" customFormat="1" x14ac:dyDescent="0.3">
      <c r="A124" s="48" t="s">
        <v>4</v>
      </c>
      <c r="B124" s="49">
        <v>38</v>
      </c>
      <c r="C124" s="152" t="str">
        <f xml:space="preserve"> IF(B124="","",setValueToTime(B124))</f>
        <v>3h10min</v>
      </c>
      <c r="D124" s="165" t="s">
        <v>190</v>
      </c>
      <c r="E124" s="239"/>
      <c r="F124" s="240"/>
      <c r="G124" s="51"/>
    </row>
    <row r="125" spans="1:7" s="52" customFormat="1" x14ac:dyDescent="0.3">
      <c r="A125" s="53"/>
      <c r="B125" s="54"/>
      <c r="C125" s="153" t="str">
        <f t="shared" ref="C125:C131" si="10" xml:space="preserve"> IF(B125="","",setValueToTime(B125))</f>
        <v/>
      </c>
      <c r="D125" s="55"/>
      <c r="E125" s="241"/>
      <c r="F125" s="242"/>
      <c r="G125" s="51"/>
    </row>
    <row r="126" spans="1:7" s="52" customFormat="1" x14ac:dyDescent="0.3">
      <c r="A126" s="53"/>
      <c r="B126" s="54"/>
      <c r="C126" s="153" t="str">
        <f t="shared" si="10"/>
        <v/>
      </c>
      <c r="D126" s="55"/>
      <c r="E126" s="241"/>
      <c r="F126" s="242"/>
      <c r="G126" s="51"/>
    </row>
    <row r="127" spans="1:7" s="52" customFormat="1" x14ac:dyDescent="0.3">
      <c r="A127" s="53"/>
      <c r="B127" s="54"/>
      <c r="C127" s="153" t="str">
        <f t="shared" si="10"/>
        <v/>
      </c>
      <c r="D127" s="55"/>
      <c r="E127" s="241"/>
      <c r="F127" s="242"/>
      <c r="G127" s="51"/>
    </row>
    <row r="128" spans="1:7" s="52" customFormat="1" x14ac:dyDescent="0.3">
      <c r="A128" s="54"/>
      <c r="B128" s="54"/>
      <c r="C128" s="154" t="str">
        <f t="shared" si="10"/>
        <v/>
      </c>
      <c r="D128" s="55"/>
      <c r="E128" s="241"/>
      <c r="F128" s="242"/>
      <c r="G128" s="51"/>
    </row>
    <row r="129" spans="1:7" s="52" customFormat="1" x14ac:dyDescent="0.3">
      <c r="A129" s="54"/>
      <c r="B129" s="54"/>
      <c r="C129" s="154" t="str">
        <f t="shared" si="10"/>
        <v/>
      </c>
      <c r="D129" s="55"/>
      <c r="E129" s="241"/>
      <c r="F129" s="242"/>
      <c r="G129" s="51"/>
    </row>
    <row r="130" spans="1:7" s="52" customFormat="1" x14ac:dyDescent="0.3">
      <c r="A130" s="54"/>
      <c r="B130" s="54"/>
      <c r="C130" s="154" t="str">
        <f t="shared" si="10"/>
        <v/>
      </c>
      <c r="D130" s="55"/>
      <c r="E130" s="241"/>
      <c r="F130" s="242"/>
      <c r="G130" s="51"/>
    </row>
    <row r="131" spans="1:7" s="52" customFormat="1" ht="15" thickBot="1" x14ac:dyDescent="0.35">
      <c r="A131" s="56"/>
      <c r="B131" s="56"/>
      <c r="C131" s="155" t="str">
        <f t="shared" si="10"/>
        <v/>
      </c>
      <c r="D131" s="57"/>
      <c r="E131" s="243"/>
      <c r="F131" s="244"/>
      <c r="G131" s="51"/>
    </row>
    <row r="132" spans="1:7" s="52" customFormat="1" ht="15" thickBot="1" x14ac:dyDescent="0.35">
      <c r="A132" s="162" t="s">
        <v>28</v>
      </c>
      <c r="B132" s="83">
        <f>SUM(B124:B131)</f>
        <v>38</v>
      </c>
      <c r="C132" s="162" t="str">
        <f xml:space="preserve"> setValueToTime(B132)</f>
        <v>3h10min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9</v>
      </c>
      <c r="C134" s="164"/>
      <c r="D134" s="157" t="s">
        <v>16</v>
      </c>
      <c r="E134" s="158" t="s">
        <v>75</v>
      </c>
      <c r="F134" s="159" t="s">
        <v>45</v>
      </c>
      <c r="G134" s="46"/>
    </row>
    <row r="135" spans="1:7" s="47" customFormat="1" ht="30" customHeight="1" thickBot="1" x14ac:dyDescent="0.3">
      <c r="A135" s="78" t="s">
        <v>5</v>
      </c>
      <c r="B135" s="161" t="s">
        <v>39</v>
      </c>
      <c r="C135" s="160"/>
      <c r="D135" s="78" t="s">
        <v>14</v>
      </c>
      <c r="E135" s="248" t="s">
        <v>15</v>
      </c>
      <c r="F135" s="249"/>
      <c r="G135" s="46"/>
    </row>
    <row r="136" spans="1:7" s="52" customFormat="1" x14ac:dyDescent="0.3">
      <c r="A136" s="48" t="s">
        <v>4</v>
      </c>
      <c r="B136" s="49">
        <v>48</v>
      </c>
      <c r="C136" s="152" t="str">
        <f xml:space="preserve"> IF(B136="","",setValueToTime(B136))</f>
        <v>4h</v>
      </c>
      <c r="D136" s="165" t="s">
        <v>190</v>
      </c>
      <c r="E136" s="239"/>
      <c r="F136" s="240"/>
      <c r="G136" s="51"/>
    </row>
    <row r="137" spans="1:7" s="52" customFormat="1" x14ac:dyDescent="0.3">
      <c r="A137" s="53"/>
      <c r="B137" s="54"/>
      <c r="C137" s="153" t="str">
        <f t="shared" ref="C137:C143" si="11" xml:space="preserve"> IF(B137="","",setValueToTime(B137))</f>
        <v/>
      </c>
      <c r="D137" s="55"/>
      <c r="E137" s="241"/>
      <c r="F137" s="242"/>
      <c r="G137" s="51"/>
    </row>
    <row r="138" spans="1:7" s="52" customFormat="1" x14ac:dyDescent="0.3">
      <c r="A138" s="53"/>
      <c r="B138" s="54"/>
      <c r="C138" s="153" t="str">
        <f t="shared" si="11"/>
        <v/>
      </c>
      <c r="D138" s="55"/>
      <c r="E138" s="241"/>
      <c r="F138" s="242"/>
      <c r="G138" s="51"/>
    </row>
    <row r="139" spans="1:7" s="52" customFormat="1" x14ac:dyDescent="0.3">
      <c r="A139" s="53"/>
      <c r="B139" s="54"/>
      <c r="C139" s="153" t="str">
        <f t="shared" si="11"/>
        <v/>
      </c>
      <c r="D139" s="55"/>
      <c r="E139" s="241"/>
      <c r="F139" s="242"/>
      <c r="G139" s="51"/>
    </row>
    <row r="140" spans="1:7" s="52" customFormat="1" x14ac:dyDescent="0.3">
      <c r="A140" s="54"/>
      <c r="B140" s="54"/>
      <c r="C140" s="154" t="str">
        <f t="shared" si="11"/>
        <v/>
      </c>
      <c r="D140" s="55"/>
      <c r="E140" s="241"/>
      <c r="F140" s="242"/>
      <c r="G140" s="51"/>
    </row>
    <row r="141" spans="1:7" s="52" customFormat="1" x14ac:dyDescent="0.3">
      <c r="A141" s="54"/>
      <c r="B141" s="54"/>
      <c r="C141" s="154" t="str">
        <f t="shared" si="11"/>
        <v/>
      </c>
      <c r="D141" s="55"/>
      <c r="E141" s="241"/>
      <c r="F141" s="242"/>
      <c r="G141" s="51"/>
    </row>
    <row r="142" spans="1:7" s="52" customFormat="1" x14ac:dyDescent="0.3">
      <c r="A142" s="54"/>
      <c r="B142" s="54"/>
      <c r="C142" s="154" t="str">
        <f t="shared" si="11"/>
        <v/>
      </c>
      <c r="D142" s="55"/>
      <c r="E142" s="241"/>
      <c r="F142" s="242"/>
      <c r="G142" s="51"/>
    </row>
    <row r="143" spans="1:7" s="52" customFormat="1" ht="15" thickBot="1" x14ac:dyDescent="0.35">
      <c r="A143" s="56"/>
      <c r="B143" s="56"/>
      <c r="C143" s="155" t="str">
        <f t="shared" si="11"/>
        <v/>
      </c>
      <c r="D143" s="57"/>
      <c r="E143" s="243"/>
      <c r="F143" s="244"/>
      <c r="G143" s="51"/>
    </row>
    <row r="144" spans="1:7" s="52" customFormat="1" ht="15" thickBot="1" x14ac:dyDescent="0.35">
      <c r="A144" s="162" t="s">
        <v>28</v>
      </c>
      <c r="B144" s="83">
        <f>SUM(B136:B143)</f>
        <v>48</v>
      </c>
      <c r="C144" s="162" t="str">
        <f xml:space="preserve"> setValueToTime(B144)</f>
        <v>4h</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8</v>
      </c>
      <c r="C146" s="164"/>
      <c r="D146" s="157" t="s">
        <v>16</v>
      </c>
      <c r="E146" s="158" t="s">
        <v>78</v>
      </c>
      <c r="F146" s="159" t="s">
        <v>44</v>
      </c>
      <c r="G146" s="46"/>
    </row>
    <row r="147" spans="1:7" s="47" customFormat="1" ht="30" customHeight="1" thickBot="1" x14ac:dyDescent="0.3">
      <c r="A147" s="78" t="s">
        <v>5</v>
      </c>
      <c r="B147" s="161" t="s">
        <v>39</v>
      </c>
      <c r="C147" s="160"/>
      <c r="D147" s="78" t="s">
        <v>14</v>
      </c>
      <c r="E147" s="248" t="s">
        <v>15</v>
      </c>
      <c r="F147" s="249"/>
      <c r="G147" s="46"/>
    </row>
    <row r="148" spans="1:7" s="52" customFormat="1" ht="40.5" x14ac:dyDescent="0.3">
      <c r="A148" s="48" t="s">
        <v>116</v>
      </c>
      <c r="B148" s="49">
        <v>24</v>
      </c>
      <c r="C148" s="152" t="str">
        <f xml:space="preserve"> IF(B148="","",setValueToTime(B148))</f>
        <v>2h</v>
      </c>
      <c r="D148" s="165" t="s">
        <v>187</v>
      </c>
      <c r="E148" s="251" t="s">
        <v>188</v>
      </c>
      <c r="F148" s="240"/>
      <c r="G148" s="51"/>
    </row>
    <row r="149" spans="1:7" s="52" customFormat="1" ht="27" x14ac:dyDescent="0.3">
      <c r="A149" s="53" t="s">
        <v>110</v>
      </c>
      <c r="B149" s="54">
        <v>14</v>
      </c>
      <c r="C149" s="153" t="str">
        <f t="shared" ref="C149:C155" si="12" xml:space="preserve"> IF(B149="","",setValueToTime(B149))</f>
        <v>1h10min</v>
      </c>
      <c r="D149" s="166" t="s">
        <v>189</v>
      </c>
      <c r="E149" s="241"/>
      <c r="F149" s="242"/>
      <c r="G149" s="51"/>
    </row>
    <row r="150" spans="1:7" s="52" customFormat="1" x14ac:dyDescent="0.3">
      <c r="A150" s="53"/>
      <c r="B150" s="54"/>
      <c r="C150" s="153" t="str">
        <f t="shared" si="12"/>
        <v/>
      </c>
      <c r="D150" s="55"/>
      <c r="E150" s="241"/>
      <c r="F150" s="242"/>
      <c r="G150" s="51"/>
    </row>
    <row r="151" spans="1:7" s="52" customFormat="1" x14ac:dyDescent="0.3">
      <c r="A151" s="53"/>
      <c r="B151" s="54"/>
      <c r="C151" s="153" t="str">
        <f t="shared" si="12"/>
        <v/>
      </c>
      <c r="D151" s="55"/>
      <c r="E151" s="241"/>
      <c r="F151" s="242"/>
      <c r="G151" s="51"/>
    </row>
    <row r="152" spans="1:7" s="52" customFormat="1" x14ac:dyDescent="0.3">
      <c r="A152" s="54"/>
      <c r="B152" s="54"/>
      <c r="C152" s="154" t="str">
        <f t="shared" si="12"/>
        <v/>
      </c>
      <c r="D152" s="55"/>
      <c r="E152" s="241"/>
      <c r="F152" s="242"/>
      <c r="G152" s="51"/>
    </row>
    <row r="153" spans="1:7" s="52" customFormat="1" x14ac:dyDescent="0.3">
      <c r="A153" s="54"/>
      <c r="B153" s="54"/>
      <c r="C153" s="154" t="str">
        <f t="shared" si="12"/>
        <v/>
      </c>
      <c r="D153" s="55"/>
      <c r="E153" s="241"/>
      <c r="F153" s="242"/>
      <c r="G153" s="51"/>
    </row>
    <row r="154" spans="1:7" s="52" customFormat="1" x14ac:dyDescent="0.3">
      <c r="A154" s="54"/>
      <c r="B154" s="54"/>
      <c r="C154" s="154" t="str">
        <f t="shared" si="12"/>
        <v/>
      </c>
      <c r="D154" s="55"/>
      <c r="E154" s="241"/>
      <c r="F154" s="242"/>
      <c r="G154" s="51"/>
    </row>
    <row r="155" spans="1:7" s="52" customFormat="1" ht="15" thickBot="1" x14ac:dyDescent="0.35">
      <c r="A155" s="56"/>
      <c r="B155" s="56"/>
      <c r="C155" s="155" t="str">
        <f t="shared" si="12"/>
        <v/>
      </c>
      <c r="D155" s="57"/>
      <c r="E155" s="243"/>
      <c r="F155" s="244"/>
      <c r="G155" s="51"/>
    </row>
    <row r="156" spans="1:7" s="52" customFormat="1" ht="15" thickBot="1" x14ac:dyDescent="0.35">
      <c r="A156" s="162" t="s">
        <v>28</v>
      </c>
      <c r="B156" s="83">
        <f>SUM(B148:B155)</f>
        <v>38</v>
      </c>
      <c r="C156" s="162" t="str">
        <f xml:space="preserve"> setValueToTime(B156)</f>
        <v>3h10min</v>
      </c>
      <c r="D156" s="121"/>
      <c r="E156" s="246"/>
      <c r="F156" s="247"/>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7</v>
      </c>
      <c r="C158" s="164"/>
      <c r="D158" s="157" t="s">
        <v>16</v>
      </c>
      <c r="E158" s="158" t="s">
        <v>78</v>
      </c>
      <c r="F158" s="159" t="s">
        <v>45</v>
      </c>
      <c r="G158" s="46"/>
    </row>
    <row r="159" spans="1:7" s="47" customFormat="1" ht="30" customHeight="1" thickBot="1" x14ac:dyDescent="0.3">
      <c r="A159" s="78" t="s">
        <v>5</v>
      </c>
      <c r="B159" s="161" t="s">
        <v>39</v>
      </c>
      <c r="C159" s="160"/>
      <c r="D159" s="78" t="s">
        <v>14</v>
      </c>
      <c r="E159" s="248" t="s">
        <v>15</v>
      </c>
      <c r="F159" s="249"/>
      <c r="G159" s="46"/>
    </row>
    <row r="160" spans="1:7" s="52" customFormat="1" ht="54" x14ac:dyDescent="0.3">
      <c r="A160" s="48" t="s">
        <v>101</v>
      </c>
      <c r="B160" s="49">
        <v>6</v>
      </c>
      <c r="C160" s="152" t="str">
        <f xml:space="preserve"> IF(B160="","",setValueToTime(B160))</f>
        <v>0h30min</v>
      </c>
      <c r="D160" s="165" t="s">
        <v>181</v>
      </c>
      <c r="E160" s="251" t="s">
        <v>170</v>
      </c>
      <c r="F160" s="240"/>
      <c r="G160" s="51"/>
    </row>
    <row r="161" spans="1:7" s="52" customFormat="1" ht="27" x14ac:dyDescent="0.3">
      <c r="A161" s="53" t="s">
        <v>101</v>
      </c>
      <c r="B161" s="54">
        <v>7</v>
      </c>
      <c r="C161" s="153" t="str">
        <f t="shared" ref="C161:C167" si="13" xml:space="preserve"> IF(B161="","",setValueToTime(B161))</f>
        <v>0h35min</v>
      </c>
      <c r="D161" s="166" t="s">
        <v>182</v>
      </c>
      <c r="E161" s="241"/>
      <c r="F161" s="242"/>
      <c r="G161" s="51"/>
    </row>
    <row r="162" spans="1:7" s="52" customFormat="1" ht="40.5" x14ac:dyDescent="0.3">
      <c r="A162" s="53" t="s">
        <v>102</v>
      </c>
      <c r="B162" s="54">
        <v>5</v>
      </c>
      <c r="C162" s="153" t="str">
        <f t="shared" si="13"/>
        <v>0h25min</v>
      </c>
      <c r="D162" s="166" t="s">
        <v>183</v>
      </c>
      <c r="E162" s="250" t="s">
        <v>184</v>
      </c>
      <c r="F162" s="242"/>
      <c r="G162" s="51"/>
    </row>
    <row r="163" spans="1:7" s="52" customFormat="1" ht="40.5" x14ac:dyDescent="0.3">
      <c r="A163" s="53" t="s">
        <v>116</v>
      </c>
      <c r="B163" s="54">
        <v>30</v>
      </c>
      <c r="C163" s="153" t="str">
        <f t="shared" si="13"/>
        <v>2h30min</v>
      </c>
      <c r="D163" s="166" t="s">
        <v>186</v>
      </c>
      <c r="E163" s="252" t="s">
        <v>185</v>
      </c>
      <c r="F163" s="242"/>
      <c r="G163" s="51"/>
    </row>
    <row r="164" spans="1:7" s="52" customFormat="1" x14ac:dyDescent="0.3">
      <c r="A164" s="54"/>
      <c r="B164" s="54"/>
      <c r="C164" s="154" t="str">
        <f t="shared" si="13"/>
        <v/>
      </c>
      <c r="D164" s="55"/>
      <c r="E164" s="241"/>
      <c r="F164" s="242"/>
      <c r="G164" s="51"/>
    </row>
    <row r="165" spans="1:7" s="52" customFormat="1" x14ac:dyDescent="0.3">
      <c r="A165" s="54"/>
      <c r="B165" s="54"/>
      <c r="C165" s="154" t="str">
        <f t="shared" si="13"/>
        <v/>
      </c>
      <c r="D165" s="55"/>
      <c r="E165" s="241"/>
      <c r="F165" s="242"/>
      <c r="G165" s="51"/>
    </row>
    <row r="166" spans="1:7" s="52" customFormat="1" x14ac:dyDescent="0.3">
      <c r="A166" s="54"/>
      <c r="B166" s="54"/>
      <c r="C166" s="154" t="str">
        <f t="shared" si="13"/>
        <v/>
      </c>
      <c r="D166" s="55"/>
      <c r="E166" s="241"/>
      <c r="F166" s="242"/>
      <c r="G166" s="51"/>
    </row>
    <row r="167" spans="1:7" s="52" customFormat="1" ht="15" thickBot="1" x14ac:dyDescent="0.35">
      <c r="A167" s="56"/>
      <c r="B167" s="56"/>
      <c r="C167" s="155" t="str">
        <f t="shared" si="13"/>
        <v/>
      </c>
      <c r="D167" s="57"/>
      <c r="E167" s="243"/>
      <c r="F167" s="244"/>
      <c r="G167" s="51"/>
    </row>
    <row r="168" spans="1:7" s="52" customFormat="1" ht="15" thickBot="1" x14ac:dyDescent="0.35">
      <c r="A168" s="162" t="s">
        <v>28</v>
      </c>
      <c r="B168" s="83">
        <f>SUM(B160:B167)</f>
        <v>48</v>
      </c>
      <c r="C168" s="162" t="str">
        <f xml:space="preserve"> setValueToTime(B168)</f>
        <v>4h</v>
      </c>
      <c r="D168" s="121"/>
      <c r="E168" s="246"/>
      <c r="F168" s="247"/>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6</v>
      </c>
      <c r="C170" s="164"/>
      <c r="D170" s="157" t="s">
        <v>16</v>
      </c>
      <c r="E170" s="158" t="s">
        <v>81</v>
      </c>
      <c r="F170" s="159" t="s">
        <v>45</v>
      </c>
      <c r="G170" s="46"/>
    </row>
    <row r="171" spans="1:7" s="47" customFormat="1" ht="30" customHeight="1" thickBot="1" x14ac:dyDescent="0.3">
      <c r="A171" s="78" t="s">
        <v>5</v>
      </c>
      <c r="B171" s="161" t="s">
        <v>39</v>
      </c>
      <c r="C171" s="160"/>
      <c r="D171" s="78" t="s">
        <v>14</v>
      </c>
      <c r="E171" s="248" t="s">
        <v>15</v>
      </c>
      <c r="F171" s="249"/>
      <c r="G171" s="46"/>
    </row>
    <row r="172" spans="1:7" s="52" customFormat="1" ht="108" customHeight="1" x14ac:dyDescent="0.3">
      <c r="A172" s="48" t="s">
        <v>117</v>
      </c>
      <c r="B172" s="49">
        <v>20</v>
      </c>
      <c r="C172" s="152" t="str">
        <f xml:space="preserve"> IF(B172="","",setValueToTime(B172))</f>
        <v>1h40min</v>
      </c>
      <c r="D172" s="165" t="s">
        <v>177</v>
      </c>
      <c r="E172" s="245" t="s">
        <v>178</v>
      </c>
      <c r="F172" s="240"/>
      <c r="G172" s="51"/>
    </row>
    <row r="173" spans="1:7" s="52" customFormat="1" ht="27" x14ac:dyDescent="0.3">
      <c r="A173" s="53" t="s">
        <v>110</v>
      </c>
      <c r="B173" s="54">
        <v>14</v>
      </c>
      <c r="C173" s="153" t="str">
        <f t="shared" ref="C173:C179" si="14" xml:space="preserve"> IF(B173="","",setValueToTime(B173))</f>
        <v>1h10min</v>
      </c>
      <c r="D173" s="166" t="s">
        <v>180</v>
      </c>
      <c r="E173" s="241"/>
      <c r="F173" s="242"/>
      <c r="G173" s="51"/>
    </row>
    <row r="174" spans="1:7" s="52" customFormat="1" ht="27" x14ac:dyDescent="0.3">
      <c r="A174" s="53" t="s">
        <v>89</v>
      </c>
      <c r="B174" s="54">
        <v>3</v>
      </c>
      <c r="C174" s="153" t="str">
        <f t="shared" si="14"/>
        <v>0h15min</v>
      </c>
      <c r="D174" s="166" t="s">
        <v>179</v>
      </c>
      <c r="E174" s="241"/>
      <c r="F174" s="242"/>
      <c r="G174" s="51"/>
    </row>
    <row r="175" spans="1:7" s="52" customFormat="1" ht="27" x14ac:dyDescent="0.3">
      <c r="A175" s="53" t="s">
        <v>93</v>
      </c>
      <c r="B175" s="54">
        <v>1</v>
      </c>
      <c r="C175" s="153" t="str">
        <f t="shared" si="14"/>
        <v>0h5min</v>
      </c>
      <c r="D175" s="166" t="s">
        <v>91</v>
      </c>
      <c r="E175" s="241"/>
      <c r="F175" s="242"/>
      <c r="G175" s="51"/>
    </row>
    <row r="176" spans="1:7" s="52" customFormat="1" x14ac:dyDescent="0.3">
      <c r="A176" s="54"/>
      <c r="B176" s="54"/>
      <c r="C176" s="154" t="str">
        <f t="shared" si="14"/>
        <v/>
      </c>
      <c r="D176" s="55"/>
      <c r="E176" s="241"/>
      <c r="F176" s="242"/>
      <c r="G176" s="51"/>
    </row>
    <row r="177" spans="1:7" s="52" customFormat="1" x14ac:dyDescent="0.3">
      <c r="A177" s="54"/>
      <c r="B177" s="54"/>
      <c r="C177" s="154" t="str">
        <f t="shared" si="14"/>
        <v/>
      </c>
      <c r="D177" s="55"/>
      <c r="E177" s="241"/>
      <c r="F177" s="242"/>
      <c r="G177" s="51"/>
    </row>
    <row r="178" spans="1:7" s="52" customFormat="1" x14ac:dyDescent="0.3">
      <c r="A178" s="54"/>
      <c r="B178" s="54"/>
      <c r="C178" s="154" t="str">
        <f t="shared" si="14"/>
        <v/>
      </c>
      <c r="D178" s="55"/>
      <c r="E178" s="241"/>
      <c r="F178" s="242"/>
      <c r="G178" s="51"/>
    </row>
    <row r="179" spans="1:7" s="52" customFormat="1" ht="15" thickBot="1" x14ac:dyDescent="0.35">
      <c r="A179" s="56"/>
      <c r="B179" s="56"/>
      <c r="C179" s="155" t="str">
        <f t="shared" si="14"/>
        <v/>
      </c>
      <c r="D179" s="57"/>
      <c r="E179" s="243"/>
      <c r="F179" s="244"/>
      <c r="G179" s="51"/>
    </row>
    <row r="180" spans="1:7" s="52" customFormat="1" ht="15" thickBot="1" x14ac:dyDescent="0.35">
      <c r="A180" s="162" t="s">
        <v>28</v>
      </c>
      <c r="B180" s="83">
        <f>SUM(B172:B179)</f>
        <v>38</v>
      </c>
      <c r="C180" s="162" t="str">
        <f xml:space="preserve"> setValueToTime(B180)</f>
        <v>3h10min</v>
      </c>
      <c r="D180" s="121"/>
      <c r="E180" s="246"/>
      <c r="F180" s="247"/>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5</v>
      </c>
      <c r="C182" s="164"/>
      <c r="D182" s="157" t="s">
        <v>16</v>
      </c>
      <c r="E182" s="158" t="s">
        <v>83</v>
      </c>
      <c r="F182" s="159" t="s">
        <v>44</v>
      </c>
      <c r="G182" s="46"/>
    </row>
    <row r="183" spans="1:7" s="47" customFormat="1" ht="30" customHeight="1" thickBot="1" x14ac:dyDescent="0.3">
      <c r="A183" s="78" t="s">
        <v>5</v>
      </c>
      <c r="B183" s="161" t="s">
        <v>39</v>
      </c>
      <c r="C183" s="160"/>
      <c r="D183" s="78" t="s">
        <v>14</v>
      </c>
      <c r="E183" s="248" t="s">
        <v>15</v>
      </c>
      <c r="F183" s="249"/>
      <c r="G183" s="46"/>
    </row>
    <row r="184" spans="1:7" s="52" customFormat="1" ht="40.5" x14ac:dyDescent="0.3">
      <c r="A184" s="48" t="s">
        <v>117</v>
      </c>
      <c r="B184" s="49">
        <v>33</v>
      </c>
      <c r="C184" s="152" t="str">
        <f xml:space="preserve"> IF(B184="","",setValueToTime(B184))</f>
        <v>2h45min</v>
      </c>
      <c r="D184" s="165" t="s">
        <v>174</v>
      </c>
      <c r="E184" s="251" t="s">
        <v>171</v>
      </c>
      <c r="F184" s="240"/>
      <c r="G184" s="51"/>
    </row>
    <row r="185" spans="1:7" s="52" customFormat="1" ht="27" x14ac:dyDescent="0.3">
      <c r="A185" s="53" t="s">
        <v>110</v>
      </c>
      <c r="B185" s="54">
        <v>4</v>
      </c>
      <c r="C185" s="153" t="str">
        <f t="shared" ref="C185:C191" si="15" xml:space="preserve"> IF(B185="","",setValueToTime(B185))</f>
        <v>0h20min</v>
      </c>
      <c r="D185" s="166" t="s">
        <v>175</v>
      </c>
      <c r="E185" s="241"/>
      <c r="F185" s="242"/>
      <c r="G185" s="51"/>
    </row>
    <row r="186" spans="1:7" s="52" customFormat="1" ht="27" x14ac:dyDescent="0.3">
      <c r="A186" s="53" t="s">
        <v>93</v>
      </c>
      <c r="B186" s="54">
        <v>1</v>
      </c>
      <c r="C186" s="153" t="str">
        <f t="shared" si="15"/>
        <v>0h5min</v>
      </c>
      <c r="D186" s="55" t="s">
        <v>173</v>
      </c>
      <c r="E186" s="241"/>
      <c r="F186" s="242"/>
      <c r="G186" s="51"/>
    </row>
    <row r="187" spans="1:7" s="52" customFormat="1" x14ac:dyDescent="0.3">
      <c r="A187" s="53"/>
      <c r="B187" s="54"/>
      <c r="C187" s="153" t="str">
        <f t="shared" si="15"/>
        <v/>
      </c>
      <c r="D187" s="55"/>
      <c r="E187" s="241"/>
      <c r="F187" s="242"/>
      <c r="G187" s="51"/>
    </row>
    <row r="188" spans="1:7" s="52" customFormat="1" x14ac:dyDescent="0.3">
      <c r="A188" s="54"/>
      <c r="B188" s="54"/>
      <c r="C188" s="154" t="str">
        <f t="shared" si="15"/>
        <v/>
      </c>
      <c r="D188" s="55"/>
      <c r="E188" s="241"/>
      <c r="F188" s="242"/>
      <c r="G188" s="51"/>
    </row>
    <row r="189" spans="1:7" s="52" customFormat="1" x14ac:dyDescent="0.3">
      <c r="A189" s="54"/>
      <c r="B189" s="54"/>
      <c r="C189" s="154" t="str">
        <f t="shared" si="15"/>
        <v/>
      </c>
      <c r="D189" s="55"/>
      <c r="E189" s="241"/>
      <c r="F189" s="242"/>
      <c r="G189" s="51"/>
    </row>
    <row r="190" spans="1:7" s="52" customFormat="1" x14ac:dyDescent="0.3">
      <c r="A190" s="54"/>
      <c r="B190" s="54"/>
      <c r="C190" s="154" t="str">
        <f t="shared" si="15"/>
        <v/>
      </c>
      <c r="D190" s="55"/>
      <c r="E190" s="241"/>
      <c r="F190" s="242"/>
      <c r="G190" s="51"/>
    </row>
    <row r="191" spans="1:7" s="52" customFormat="1" ht="15" thickBot="1" x14ac:dyDescent="0.35">
      <c r="A191" s="56"/>
      <c r="B191" s="56"/>
      <c r="C191" s="155" t="str">
        <f t="shared" si="15"/>
        <v/>
      </c>
      <c r="D191" s="57"/>
      <c r="E191" s="243"/>
      <c r="F191" s="244"/>
      <c r="G191" s="51"/>
    </row>
    <row r="192" spans="1:7" s="52" customFormat="1" ht="15" thickBot="1" x14ac:dyDescent="0.35">
      <c r="A192" s="162" t="s">
        <v>28</v>
      </c>
      <c r="B192" s="83">
        <f>SUM(B184:B191)</f>
        <v>38</v>
      </c>
      <c r="C192" s="162" t="str">
        <f xml:space="preserve"> setValueToTime(B192)</f>
        <v>3h10min</v>
      </c>
      <c r="D192" s="121"/>
      <c r="E192" s="246"/>
      <c r="F192" s="247"/>
      <c r="G192" s="51"/>
    </row>
    <row r="193" spans="1:7" s="59" customFormat="1" ht="15" thickBot="1" x14ac:dyDescent="0.35">
      <c r="A193" s="77"/>
      <c r="B193" s="77"/>
      <c r="C193" s="77"/>
      <c r="D193" s="77"/>
      <c r="E193" s="77"/>
      <c r="F193" s="77"/>
      <c r="G193" s="58"/>
    </row>
    <row r="194" spans="1:7" s="47" customFormat="1" ht="30" customHeight="1" thickBot="1" x14ac:dyDescent="0.3">
      <c r="A194" s="156" t="s">
        <v>13</v>
      </c>
      <c r="B194" s="164">
        <v>4</v>
      </c>
      <c r="C194" s="164"/>
      <c r="D194" s="157" t="s">
        <v>16</v>
      </c>
      <c r="E194" s="158" t="s">
        <v>83</v>
      </c>
      <c r="F194" s="159" t="s">
        <v>45</v>
      </c>
      <c r="G194" s="46"/>
    </row>
    <row r="195" spans="1:7" s="47" customFormat="1" ht="30" customHeight="1" thickBot="1" x14ac:dyDescent="0.3">
      <c r="A195" s="78" t="s">
        <v>5</v>
      </c>
      <c r="B195" s="161" t="s">
        <v>39</v>
      </c>
      <c r="C195" s="160"/>
      <c r="D195" s="78" t="s">
        <v>14</v>
      </c>
      <c r="E195" s="248" t="s">
        <v>15</v>
      </c>
      <c r="F195" s="249"/>
      <c r="G195" s="46"/>
    </row>
    <row r="196" spans="1:7" s="52" customFormat="1" ht="40.5" x14ac:dyDescent="0.3">
      <c r="A196" s="48" t="s">
        <v>102</v>
      </c>
      <c r="B196" s="49">
        <v>14</v>
      </c>
      <c r="C196" s="152" t="str">
        <f xml:space="preserve"> IF(B196="","",setValueToTime(B196))</f>
        <v>1h10min</v>
      </c>
      <c r="D196" s="165" t="s">
        <v>176</v>
      </c>
      <c r="E196" s="251" t="s">
        <v>167</v>
      </c>
      <c r="F196" s="240"/>
      <c r="G196" s="51"/>
    </row>
    <row r="197" spans="1:7" s="52" customFormat="1" ht="27" x14ac:dyDescent="0.3">
      <c r="A197" s="53" t="s">
        <v>110</v>
      </c>
      <c r="B197" s="54">
        <v>5</v>
      </c>
      <c r="C197" s="153" t="str">
        <f t="shared" ref="C197:C203" si="16" xml:space="preserve"> IF(B197="","",setValueToTime(B197))</f>
        <v>0h25min</v>
      </c>
      <c r="D197" s="166" t="s">
        <v>169</v>
      </c>
      <c r="E197" s="241"/>
      <c r="F197" s="242"/>
      <c r="G197" s="51"/>
    </row>
    <row r="198" spans="1:7" s="52" customFormat="1" ht="40.5" x14ac:dyDescent="0.3">
      <c r="A198" s="53" t="s">
        <v>117</v>
      </c>
      <c r="B198" s="54">
        <v>19</v>
      </c>
      <c r="C198" s="153" t="str">
        <f t="shared" si="16"/>
        <v>1h35min</v>
      </c>
      <c r="D198" s="166" t="s">
        <v>172</v>
      </c>
      <c r="E198" s="250" t="s">
        <v>170</v>
      </c>
      <c r="F198" s="242"/>
      <c r="G198" s="51"/>
    </row>
    <row r="199" spans="1:7" s="52" customFormat="1" x14ac:dyDescent="0.3">
      <c r="A199" s="53"/>
      <c r="B199" s="54"/>
      <c r="C199" s="153" t="str">
        <f t="shared" si="16"/>
        <v/>
      </c>
      <c r="D199" s="55"/>
      <c r="E199" s="241"/>
      <c r="F199" s="242"/>
      <c r="G199" s="51"/>
    </row>
    <row r="200" spans="1:7" s="52" customFormat="1" x14ac:dyDescent="0.3">
      <c r="A200" s="54"/>
      <c r="B200" s="54"/>
      <c r="C200" s="154" t="str">
        <f t="shared" si="16"/>
        <v/>
      </c>
      <c r="D200" s="55"/>
      <c r="E200" s="241"/>
      <c r="F200" s="242"/>
      <c r="G200" s="51"/>
    </row>
    <row r="201" spans="1:7" s="52" customFormat="1" x14ac:dyDescent="0.3">
      <c r="A201" s="54"/>
      <c r="B201" s="54"/>
      <c r="C201" s="154" t="str">
        <f t="shared" si="16"/>
        <v/>
      </c>
      <c r="D201" s="55"/>
      <c r="E201" s="241"/>
      <c r="F201" s="242"/>
      <c r="G201" s="51"/>
    </row>
    <row r="202" spans="1:7" s="52" customFormat="1" x14ac:dyDescent="0.3">
      <c r="A202" s="54"/>
      <c r="B202" s="54"/>
      <c r="C202" s="154" t="str">
        <f t="shared" si="16"/>
        <v/>
      </c>
      <c r="D202" s="55"/>
      <c r="E202" s="241"/>
      <c r="F202" s="242"/>
      <c r="G202" s="51"/>
    </row>
    <row r="203" spans="1:7" s="52" customFormat="1" ht="15" thickBot="1" x14ac:dyDescent="0.35">
      <c r="A203" s="56"/>
      <c r="B203" s="56"/>
      <c r="C203" s="155" t="str">
        <f t="shared" si="16"/>
        <v/>
      </c>
      <c r="D203" s="57"/>
      <c r="E203" s="243"/>
      <c r="F203" s="244"/>
      <c r="G203" s="51"/>
    </row>
    <row r="204" spans="1:7" s="52" customFormat="1" ht="15" thickBot="1" x14ac:dyDescent="0.35">
      <c r="A204" s="162" t="s">
        <v>28</v>
      </c>
      <c r="B204" s="83">
        <f>SUM(B196:B203)</f>
        <v>38</v>
      </c>
      <c r="C204" s="162" t="str">
        <f xml:space="preserve"> setValueToTime(B204)</f>
        <v>3h10min</v>
      </c>
      <c r="D204" s="121"/>
      <c r="E204" s="246"/>
      <c r="F204" s="247"/>
      <c r="G204" s="51"/>
    </row>
    <row r="205" spans="1:7" s="59" customFormat="1" ht="15" thickBot="1" x14ac:dyDescent="0.35">
      <c r="A205" s="77"/>
      <c r="B205" s="77"/>
      <c r="C205" s="77"/>
      <c r="D205" s="77"/>
      <c r="E205" s="77"/>
      <c r="F205" s="77"/>
      <c r="G205" s="58"/>
    </row>
    <row r="206" spans="1:7" s="47" customFormat="1" ht="30" customHeight="1" thickBot="1" x14ac:dyDescent="0.3">
      <c r="A206" s="156" t="s">
        <v>13</v>
      </c>
      <c r="B206" s="164">
        <v>3</v>
      </c>
      <c r="C206" s="164"/>
      <c r="D206" s="157" t="s">
        <v>16</v>
      </c>
      <c r="E206" s="158" t="s">
        <v>85</v>
      </c>
      <c r="F206" s="159" t="s">
        <v>44</v>
      </c>
      <c r="G206" s="46"/>
    </row>
    <row r="207" spans="1:7" s="47" customFormat="1" ht="30" customHeight="1" thickBot="1" x14ac:dyDescent="0.3">
      <c r="A207" s="78" t="s">
        <v>5</v>
      </c>
      <c r="B207" s="161" t="s">
        <v>39</v>
      </c>
      <c r="C207" s="160"/>
      <c r="D207" s="78" t="s">
        <v>14</v>
      </c>
      <c r="E207" s="248" t="s">
        <v>15</v>
      </c>
      <c r="F207" s="249"/>
      <c r="G207" s="46"/>
    </row>
    <row r="208" spans="1:7" s="52" customFormat="1" ht="27" x14ac:dyDescent="0.3">
      <c r="A208" s="48" t="s">
        <v>97</v>
      </c>
      <c r="B208" s="49">
        <v>18</v>
      </c>
      <c r="C208" s="152" t="str">
        <f xml:space="preserve"> IF(B208="","",setValueToTime(B208))</f>
        <v>1h30min</v>
      </c>
      <c r="D208" s="165" t="s">
        <v>162</v>
      </c>
      <c r="E208" s="239"/>
      <c r="F208" s="240"/>
      <c r="G208" s="51"/>
    </row>
    <row r="209" spans="1:7" s="52" customFormat="1" ht="54" x14ac:dyDescent="0.3">
      <c r="A209" s="53" t="s">
        <v>111</v>
      </c>
      <c r="B209" s="54">
        <v>6</v>
      </c>
      <c r="C209" s="153" t="str">
        <f t="shared" ref="C209:C215" si="17" xml:space="preserve"> IF(B209="","",setValueToTime(B209))</f>
        <v>0h30min</v>
      </c>
      <c r="D209" s="166" t="s">
        <v>163</v>
      </c>
      <c r="E209" s="250" t="s">
        <v>168</v>
      </c>
      <c r="F209" s="242"/>
      <c r="G209" s="51"/>
    </row>
    <row r="210" spans="1:7" s="52" customFormat="1" ht="40.5" x14ac:dyDescent="0.3">
      <c r="A210" s="53" t="s">
        <v>103</v>
      </c>
      <c r="B210" s="54">
        <v>4</v>
      </c>
      <c r="C210" s="153" t="str">
        <f t="shared" si="17"/>
        <v>0h20min</v>
      </c>
      <c r="D210" s="166" t="s">
        <v>164</v>
      </c>
      <c r="E210" s="241"/>
      <c r="F210" s="242"/>
      <c r="G210" s="51"/>
    </row>
    <row r="211" spans="1:7" s="52" customFormat="1" ht="40.5" x14ac:dyDescent="0.3">
      <c r="A211" s="53" t="s">
        <v>100</v>
      </c>
      <c r="B211" s="54">
        <v>10</v>
      </c>
      <c r="C211" s="153" t="str">
        <f t="shared" si="17"/>
        <v>0h50min</v>
      </c>
      <c r="D211" s="166" t="s">
        <v>166</v>
      </c>
      <c r="E211" s="241"/>
      <c r="F211" s="242"/>
      <c r="G211" s="51"/>
    </row>
    <row r="212" spans="1:7" s="52" customFormat="1" x14ac:dyDescent="0.3">
      <c r="A212" s="54"/>
      <c r="B212" s="54"/>
      <c r="C212" s="154" t="str">
        <f t="shared" si="17"/>
        <v/>
      </c>
      <c r="D212" s="55"/>
      <c r="E212" s="241"/>
      <c r="F212" s="242"/>
      <c r="G212" s="51"/>
    </row>
    <row r="213" spans="1:7" s="52" customFormat="1" x14ac:dyDescent="0.3">
      <c r="A213" s="54"/>
      <c r="B213" s="54"/>
      <c r="C213" s="154" t="str">
        <f t="shared" si="17"/>
        <v/>
      </c>
      <c r="D213" s="55"/>
      <c r="E213" s="241"/>
      <c r="F213" s="242"/>
      <c r="G213" s="51"/>
    </row>
    <row r="214" spans="1:7" s="52" customFormat="1" x14ac:dyDescent="0.3">
      <c r="A214" s="54"/>
      <c r="B214" s="54"/>
      <c r="C214" s="154" t="str">
        <f t="shared" si="17"/>
        <v/>
      </c>
      <c r="D214" s="55"/>
      <c r="E214" s="241"/>
      <c r="F214" s="242"/>
      <c r="G214" s="51"/>
    </row>
    <row r="215" spans="1:7" s="52" customFormat="1" ht="15" thickBot="1" x14ac:dyDescent="0.35">
      <c r="A215" s="56"/>
      <c r="B215" s="56"/>
      <c r="C215" s="155" t="str">
        <f t="shared" si="17"/>
        <v/>
      </c>
      <c r="D215" s="57"/>
      <c r="E215" s="243"/>
      <c r="F215" s="244"/>
      <c r="G215" s="51"/>
    </row>
    <row r="216" spans="1:7" s="52" customFormat="1" ht="15" thickBot="1" x14ac:dyDescent="0.35">
      <c r="A216" s="162" t="s">
        <v>28</v>
      </c>
      <c r="B216" s="83">
        <f>SUM(B208:B215)</f>
        <v>38</v>
      </c>
      <c r="C216" s="162" t="str">
        <f xml:space="preserve"> setValueToTime(B216)</f>
        <v>3h10min</v>
      </c>
      <c r="D216" s="121"/>
      <c r="E216" s="246"/>
      <c r="F216" s="247"/>
      <c r="G216" s="51"/>
    </row>
    <row r="217" spans="1:7" s="59" customFormat="1" ht="15" thickBot="1" x14ac:dyDescent="0.35">
      <c r="A217" s="77"/>
      <c r="B217" s="77"/>
      <c r="C217" s="77"/>
      <c r="D217" s="77"/>
      <c r="E217" s="77"/>
      <c r="F217" s="77"/>
      <c r="G217" s="58"/>
    </row>
    <row r="218" spans="1:7" s="47" customFormat="1" ht="30" customHeight="1" thickBot="1" x14ac:dyDescent="0.3">
      <c r="A218" s="156" t="s">
        <v>13</v>
      </c>
      <c r="B218" s="164">
        <v>2</v>
      </c>
      <c r="C218" s="164"/>
      <c r="D218" s="157" t="s">
        <v>16</v>
      </c>
      <c r="E218" s="158" t="s">
        <v>85</v>
      </c>
      <c r="F218" s="159" t="s">
        <v>45</v>
      </c>
      <c r="G218" s="46"/>
    </row>
    <row r="219" spans="1:7" s="47" customFormat="1" ht="30" customHeight="1" thickBot="1" x14ac:dyDescent="0.3">
      <c r="A219" s="78" t="s">
        <v>5</v>
      </c>
      <c r="B219" s="161" t="s">
        <v>39</v>
      </c>
      <c r="C219" s="160"/>
      <c r="D219" s="78" t="s">
        <v>14</v>
      </c>
      <c r="E219" s="248" t="s">
        <v>15</v>
      </c>
      <c r="F219" s="249"/>
      <c r="G219" s="46"/>
    </row>
    <row r="220" spans="1:7" s="52" customFormat="1" ht="27" x14ac:dyDescent="0.3">
      <c r="A220" s="48" t="s">
        <v>97</v>
      </c>
      <c r="B220" s="49">
        <v>48</v>
      </c>
      <c r="C220" s="152" t="str">
        <f xml:space="preserve"> IF(B220="","",setValueToTime(B220))</f>
        <v>4h</v>
      </c>
      <c r="D220" s="165" t="s">
        <v>161</v>
      </c>
      <c r="E220" s="239"/>
      <c r="F220" s="240"/>
      <c r="G220" s="51"/>
    </row>
    <row r="221" spans="1:7" s="52" customFormat="1" x14ac:dyDescent="0.3">
      <c r="A221" s="53"/>
      <c r="B221" s="54"/>
      <c r="C221" s="153" t="str">
        <f t="shared" ref="C221:C227" si="18" xml:space="preserve"> IF(B221="","",setValueToTime(B221))</f>
        <v/>
      </c>
      <c r="D221" s="55"/>
      <c r="E221" s="241"/>
      <c r="F221" s="242"/>
      <c r="G221" s="51"/>
    </row>
    <row r="222" spans="1:7" s="52" customFormat="1" x14ac:dyDescent="0.3">
      <c r="A222" s="53"/>
      <c r="B222" s="54"/>
      <c r="C222" s="153" t="str">
        <f t="shared" si="18"/>
        <v/>
      </c>
      <c r="D222" s="55"/>
      <c r="E222" s="241"/>
      <c r="F222" s="242"/>
      <c r="G222" s="51"/>
    </row>
    <row r="223" spans="1:7" s="52" customFormat="1" x14ac:dyDescent="0.3">
      <c r="A223" s="53"/>
      <c r="B223" s="54"/>
      <c r="C223" s="153" t="str">
        <f t="shared" si="18"/>
        <v/>
      </c>
      <c r="D223" s="55"/>
      <c r="E223" s="241"/>
      <c r="F223" s="242"/>
      <c r="G223" s="51"/>
    </row>
    <row r="224" spans="1:7" s="52" customFormat="1" x14ac:dyDescent="0.3">
      <c r="A224" s="54"/>
      <c r="B224" s="54"/>
      <c r="C224" s="154" t="str">
        <f t="shared" si="18"/>
        <v/>
      </c>
      <c r="D224" s="55"/>
      <c r="E224" s="241"/>
      <c r="F224" s="242"/>
      <c r="G224" s="51"/>
    </row>
    <row r="225" spans="1:7" s="52" customFormat="1" x14ac:dyDescent="0.3">
      <c r="A225" s="54"/>
      <c r="B225" s="54"/>
      <c r="C225" s="154" t="str">
        <f t="shared" si="18"/>
        <v/>
      </c>
      <c r="D225" s="55"/>
      <c r="E225" s="241"/>
      <c r="F225" s="242"/>
      <c r="G225" s="51"/>
    </row>
    <row r="226" spans="1:7" s="52" customFormat="1" x14ac:dyDescent="0.3">
      <c r="A226" s="54"/>
      <c r="B226" s="54"/>
      <c r="C226" s="154" t="str">
        <f t="shared" si="18"/>
        <v/>
      </c>
      <c r="D226" s="55"/>
      <c r="E226" s="241"/>
      <c r="F226" s="242"/>
      <c r="G226" s="51"/>
    </row>
    <row r="227" spans="1:7" s="52" customFormat="1" ht="15" thickBot="1" x14ac:dyDescent="0.35">
      <c r="A227" s="56"/>
      <c r="B227" s="56"/>
      <c r="C227" s="155" t="str">
        <f t="shared" si="18"/>
        <v/>
      </c>
      <c r="D227" s="57"/>
      <c r="E227" s="243"/>
      <c r="F227" s="244"/>
      <c r="G227" s="51"/>
    </row>
    <row r="228" spans="1:7" s="52" customFormat="1" ht="15" thickBot="1" x14ac:dyDescent="0.35">
      <c r="A228" s="162" t="s">
        <v>28</v>
      </c>
      <c r="B228" s="83">
        <f>SUM(B220:B227)</f>
        <v>48</v>
      </c>
      <c r="C228" s="162" t="str">
        <f xml:space="preserve"> setValueToTime(B228)</f>
        <v>4h</v>
      </c>
      <c r="D228" s="121"/>
      <c r="E228" s="246"/>
      <c r="F228" s="247"/>
      <c r="G228" s="51"/>
    </row>
    <row r="229" spans="1:7" s="59" customFormat="1" ht="15" thickBot="1" x14ac:dyDescent="0.35">
      <c r="A229" s="77"/>
      <c r="B229" s="77"/>
      <c r="C229" s="77"/>
      <c r="D229" s="77"/>
      <c r="E229" s="77"/>
      <c r="F229" s="77"/>
      <c r="G229" s="58"/>
    </row>
    <row r="230" spans="1:7" s="47" customFormat="1" ht="30" customHeight="1" thickBot="1" x14ac:dyDescent="0.3">
      <c r="A230" s="156" t="s">
        <v>13</v>
      </c>
      <c r="B230" s="164">
        <v>1</v>
      </c>
      <c r="C230" s="164"/>
      <c r="D230" s="157" t="s">
        <v>16</v>
      </c>
      <c r="E230" s="158" t="s">
        <v>86</v>
      </c>
      <c r="F230" s="159" t="s">
        <v>44</v>
      </c>
      <c r="G230" s="46"/>
    </row>
    <row r="231" spans="1:7" s="47" customFormat="1" ht="30" customHeight="1" thickBot="1" x14ac:dyDescent="0.3">
      <c r="A231" s="78" t="s">
        <v>5</v>
      </c>
      <c r="B231" s="161" t="s">
        <v>39</v>
      </c>
      <c r="C231" s="160"/>
      <c r="D231" s="78" t="s">
        <v>14</v>
      </c>
      <c r="E231" s="248" t="s">
        <v>15</v>
      </c>
      <c r="F231" s="249"/>
      <c r="G231" s="46"/>
    </row>
    <row r="232" spans="1:7" s="52" customFormat="1" ht="27" x14ac:dyDescent="0.3">
      <c r="A232" s="48" t="s">
        <v>89</v>
      </c>
      <c r="B232" s="49">
        <v>9</v>
      </c>
      <c r="C232" s="152" t="str">
        <f xml:space="preserve"> IF(B232="","",setValueToTime(B232))</f>
        <v>0h45min</v>
      </c>
      <c r="D232" s="165" t="s">
        <v>88</v>
      </c>
      <c r="E232" s="239"/>
      <c r="F232" s="240"/>
      <c r="G232" s="51"/>
    </row>
    <row r="233" spans="1:7" s="52" customFormat="1" ht="27" x14ac:dyDescent="0.3">
      <c r="A233" s="53" t="s">
        <v>43</v>
      </c>
      <c r="B233" s="54">
        <v>19</v>
      </c>
      <c r="C233" s="153" t="str">
        <f t="shared" ref="C233:C239" si="19" xml:space="preserve"> IF(B233="","",setValueToTime(B233))</f>
        <v>1h35min</v>
      </c>
      <c r="D233" s="166" t="s">
        <v>90</v>
      </c>
      <c r="E233" s="241"/>
      <c r="F233" s="242"/>
      <c r="G233" s="51"/>
    </row>
    <row r="234" spans="1:7" s="52" customFormat="1" x14ac:dyDescent="0.3">
      <c r="A234" s="53" t="s">
        <v>42</v>
      </c>
      <c r="B234" s="54">
        <v>7</v>
      </c>
      <c r="C234" s="153" t="str">
        <f t="shared" si="19"/>
        <v>0h35min</v>
      </c>
      <c r="D234" s="166" t="s">
        <v>92</v>
      </c>
      <c r="E234" s="241"/>
      <c r="F234" s="242"/>
      <c r="G234" s="51"/>
    </row>
    <row r="235" spans="1:7" s="52" customFormat="1" x14ac:dyDescent="0.3">
      <c r="A235" s="53" t="s">
        <v>87</v>
      </c>
      <c r="B235" s="54">
        <v>1</v>
      </c>
      <c r="C235" s="153" t="str">
        <f t="shared" si="19"/>
        <v>0h5min</v>
      </c>
      <c r="D235" s="166" t="s">
        <v>91</v>
      </c>
      <c r="E235" s="241"/>
      <c r="F235" s="242"/>
      <c r="G235" s="51"/>
    </row>
    <row r="236" spans="1:7" s="52" customFormat="1" x14ac:dyDescent="0.3">
      <c r="A236" s="54"/>
      <c r="B236" s="54"/>
      <c r="C236" s="154" t="str">
        <f t="shared" si="19"/>
        <v/>
      </c>
      <c r="D236" s="55"/>
      <c r="E236" s="241"/>
      <c r="F236" s="242"/>
      <c r="G236" s="51"/>
    </row>
    <row r="237" spans="1:7" s="52" customFormat="1" x14ac:dyDescent="0.3">
      <c r="A237" s="54"/>
      <c r="B237" s="54"/>
      <c r="C237" s="154" t="str">
        <f t="shared" si="19"/>
        <v/>
      </c>
      <c r="D237" s="55"/>
      <c r="E237" s="241"/>
      <c r="F237" s="242"/>
      <c r="G237" s="51"/>
    </row>
    <row r="238" spans="1:7" s="52" customFormat="1" x14ac:dyDescent="0.3">
      <c r="A238" s="54"/>
      <c r="B238" s="54"/>
      <c r="C238" s="154" t="str">
        <f t="shared" si="19"/>
        <v/>
      </c>
      <c r="D238" s="55"/>
      <c r="E238" s="241"/>
      <c r="F238" s="242"/>
      <c r="G238" s="51"/>
    </row>
    <row r="239" spans="1:7" s="52" customFormat="1" ht="15" thickBot="1" x14ac:dyDescent="0.35">
      <c r="A239" s="56"/>
      <c r="B239" s="56"/>
      <c r="C239" s="155" t="str">
        <f t="shared" si="19"/>
        <v/>
      </c>
      <c r="D239" s="57"/>
      <c r="E239" s="243"/>
      <c r="F239" s="244"/>
      <c r="G239" s="51"/>
    </row>
    <row r="240" spans="1:7" s="52" customFormat="1" ht="15" thickBot="1" x14ac:dyDescent="0.35">
      <c r="A240" s="162" t="s">
        <v>28</v>
      </c>
      <c r="B240" s="83">
        <f>SUM(B232:B239)</f>
        <v>36</v>
      </c>
      <c r="C240" s="162" t="str">
        <f xml:space="preserve"> setValueToTime(B240)</f>
        <v>3h</v>
      </c>
      <c r="D240" s="121"/>
      <c r="E240" s="246"/>
      <c r="F240" s="247"/>
      <c r="G240" s="51"/>
    </row>
    <row r="241" spans="1:7" s="59" customFormat="1" x14ac:dyDescent="0.3">
      <c r="A241" s="77"/>
      <c r="B241" s="77"/>
      <c r="C241" s="77"/>
      <c r="D241" s="77"/>
      <c r="E241" s="77"/>
      <c r="F241" s="77"/>
      <c r="G241" s="58"/>
    </row>
  </sheetData>
  <sheetProtection formatRows="0" insertRows="0" insertHyperlinks="0" deleteRows="0" selectLockedCells="1"/>
  <mergeCells count="200">
    <mergeCell ref="E36:F36"/>
    <mergeCell ref="E27:F27"/>
    <mergeCell ref="E28:F28"/>
    <mergeCell ref="E29:F29"/>
    <mergeCell ref="E30:F30"/>
    <mergeCell ref="E31:F31"/>
    <mergeCell ref="E32:F32"/>
    <mergeCell ref="E33:F33"/>
    <mergeCell ref="E34:F34"/>
    <mergeCell ref="E35:F35"/>
    <mergeCell ref="E84:F84"/>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37:F237"/>
    <mergeCell ref="E238:F238"/>
    <mergeCell ref="E239:F239"/>
    <mergeCell ref="E240:F240"/>
    <mergeCell ref="E231:F231"/>
    <mergeCell ref="E232:F232"/>
    <mergeCell ref="E233:F233"/>
    <mergeCell ref="E234:F234"/>
    <mergeCell ref="E235:F235"/>
    <mergeCell ref="E236:F236"/>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176:F176"/>
    <mergeCell ref="E177:F177"/>
    <mergeCell ref="E178:F178"/>
    <mergeCell ref="E179:F179"/>
    <mergeCell ref="E180:F180"/>
    <mergeCell ref="E171:F171"/>
    <mergeCell ref="E172:F172"/>
    <mergeCell ref="E173:F173"/>
    <mergeCell ref="E174:F174"/>
    <mergeCell ref="E175:F175"/>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240">
    <cfRule type="cellIs" dxfId="21" priority="22"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28 B216 B204 B192 B180 B168 B156 B144 B132 B120 B108 B96 B84 B72 B60 B48 B36 B24 B12">
      <formula1>0</formula1>
      <formula2>60</formula2>
    </dataValidation>
    <dataValidation type="list" allowBlank="1" showInputMessage="1" showErrorMessage="1" sqref="A232:A239 A220:A227 A208:A215 A196:A203 A184:A191 A172:A179 A160:A167 A148:A155 A136:A143 A124:A131 A112:A119 A100:A107 A88:A95 A76:A83 A64:A71 A52:A59 A40:A47 A28:A35 A16:A23 A4:A11">
      <formula1>ListeTaches</formula1>
    </dataValidation>
  </dataValidations>
  <hyperlinks>
    <hyperlink ref="E196" r:id="rId1"/>
    <hyperlink ref="E209" r:id="rId2"/>
    <hyperlink ref="E198" r:id="rId3"/>
    <hyperlink ref="E184" r:id="rId4"/>
    <hyperlink ref="E160" r:id="rId5"/>
    <hyperlink ref="E162" r:id="rId6"/>
    <hyperlink ref="E148"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90"/>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90"/>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90"/>
    </row>
    <row r="13" spans="1:61" ht="18.75" thickBot="1" x14ac:dyDescent="0.3">
      <c r="A13" s="222" t="s">
        <v>13</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7" t="s">
        <v>15</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2021-05-20T14:25:22Z</dcterms:modified>
</cp:coreProperties>
</file>