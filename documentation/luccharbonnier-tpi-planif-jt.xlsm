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B36" i="12"/>
  <c r="C35" i="12"/>
  <c r="C34" i="12"/>
  <c r="C33" i="12"/>
  <c r="C32" i="12"/>
  <c r="C31" i="12"/>
  <c r="C18" i="12"/>
  <c r="C16" i="12"/>
  <c r="C17" i="12"/>
  <c r="C24" i="12"/>
  <c r="C30" i="12"/>
  <c r="C29" i="12"/>
  <c r="C28" i="12"/>
  <c r="C36" i="12"/>
  <c r="B48" i="12" l="1"/>
  <c r="C47" i="12"/>
  <c r="C46" i="12"/>
  <c r="C45" i="12"/>
  <c r="C44" i="12"/>
  <c r="B60" i="12"/>
  <c r="C59" i="12"/>
  <c r="C58" i="12"/>
  <c r="C57" i="12"/>
  <c r="C56" i="12"/>
  <c r="C55" i="12"/>
  <c r="C54" i="12"/>
  <c r="C53" i="12"/>
  <c r="E95" i="1"/>
  <c r="C40" i="12"/>
  <c r="C52" i="12"/>
  <c r="C60" i="12"/>
  <c r="C71" i="10"/>
  <c r="C155" i="10"/>
  <c r="C41" i="12"/>
  <c r="C43" i="12"/>
  <c r="C48" i="12"/>
  <c r="C42" i="12"/>
  <c r="B72" i="12" l="1"/>
  <c r="C71" i="12"/>
  <c r="C70" i="12"/>
  <c r="C69" i="12"/>
  <c r="C68"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72" i="12"/>
  <c r="C64" i="12"/>
  <c r="C65" i="12"/>
  <c r="C67" i="12"/>
  <c r="C66" i="12"/>
  <c r="C72" i="10"/>
  <c r="C65" i="10"/>
  <c r="C21" i="10"/>
  <c r="C15" i="10"/>
  <c r="C27" i="10"/>
  <c r="C41" i="10"/>
  <c r="C80" i="10"/>
  <c r="C135" i="10"/>
  <c r="C17" i="10"/>
  <c r="C118" i="10"/>
  <c r="C87" i="10"/>
  <c r="C66" i="10"/>
  <c r="C161" i="10"/>
  <c r="C47" i="10"/>
  <c r="C141" i="10"/>
  <c r="C23" i="10"/>
  <c r="C123" i="10"/>
  <c r="C10" i="10"/>
  <c r="C53" i="10"/>
  <c r="C93" i="10"/>
  <c r="C147" i="10"/>
  <c r="C59" i="10"/>
  <c r="C112" i="10"/>
  <c r="C117" i="10"/>
  <c r="C113" i="10"/>
  <c r="C34" i="10"/>
  <c r="C29" i="10"/>
  <c r="C16" i="10"/>
  <c r="C101" i="10"/>
  <c r="C162" i="10"/>
  <c r="C107" i="10"/>
  <c r="C129" i="10"/>
  <c r="C22" i="10"/>
  <c r="C160" i="10"/>
  <c r="C28" i="10"/>
  <c r="C73" i="10"/>
  <c r="C33" i="10"/>
  <c r="C35" i="10"/>
  <c r="C9" i="10"/>
  <c r="C11" i="10"/>
  <c r="C4" i="10"/>
  <c r="C5" i="10"/>
  <c r="C40" i="10"/>
  <c r="C39" i="10"/>
  <c r="C42" i="10"/>
  <c r="C48" i="10"/>
  <c r="C46" i="10"/>
  <c r="C54" i="10"/>
  <c r="C52" i="10"/>
  <c r="C58" i="10"/>
  <c r="C60" i="10"/>
  <c r="C67" i="10"/>
  <c r="C64" i="10"/>
  <c r="C74" i="10"/>
  <c r="C100" i="10"/>
  <c r="C86" i="10"/>
  <c r="C79" i="10"/>
  <c r="C81" i="10"/>
  <c r="C78" i="10"/>
  <c r="C88" i="10"/>
  <c r="C85" i="10"/>
  <c r="C92" i="10"/>
  <c r="C94" i="10"/>
  <c r="C99" i="10"/>
  <c r="C98" i="10"/>
  <c r="C102" i="10"/>
  <c r="C106" i="10"/>
  <c r="C108" i="10"/>
  <c r="C124" i="10"/>
  <c r="C122" i="10"/>
  <c r="C130" i="10"/>
  <c r="C128" i="10"/>
  <c r="C134" i="10"/>
  <c r="C136" i="10"/>
  <c r="C140" i="10"/>
  <c r="C142" i="10"/>
  <c r="C148" i="10"/>
  <c r="C146" i="10"/>
  <c r="C154" i="10"/>
  <c r="C153" i="10"/>
  <c r="C167" i="10"/>
  <c r="C166" i="10"/>
  <c r="C156" i="10"/>
  <c r="C152" i="10"/>
  <c r="C168"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<sst xmlns="http://schemas.openxmlformats.org/spreadsheetml/2006/main" count="928" uniqueCount="183">
  <si>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</si>
  <si>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</si>
  <si>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</si>
  <si>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</si>
  <si>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</si>
  <si>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</si>
  <si>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</si>
  <si>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</si>
  <si>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</si>
  <si>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</si>
  <si>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</si>
  <si>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</si>
  <si>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</si>
  <si>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</si>
  <si>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</si>
  <si>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</si>
  <si>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</si>
  <si>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</si>
  <si>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</si>
  <si>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</si>
  <si>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</si>
  <si>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</si>
  <si>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</si>
  <si>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</si>
  <si>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</si>
  <si>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</si>
  <si>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</si>
  <si>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</si>
  <si>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</si>
  <si>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</si>
  <si>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</si>
  <si>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</si>
  <si>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</si>
  <si>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</si>
  <si>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</si>
  <si>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</si>
  <si>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</si>
  <si>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</si>
  <si>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</si>
  <si>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</si>
  <si>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</si>
  <si>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</si>
  <si>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</si>
  <si>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</si>
  <si>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</si>
  <si>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</si>
  <si>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</si>
  <si>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</si>
  <si>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</si>
  <si>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</si>
  <si>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</si>
  <si>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</si>
  <si>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</si>
  <si>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</si>
  <si>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</si>
  <si>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</si>
  <si>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</si>
  <si>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</si>
  <si>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</si>
  <si>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</si>
  <si>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</si>
  <si>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</si>
  <si>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</si>
  <si>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</si>
  <si>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</si>
  <si>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</si>
  <si>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</si>
  <si>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</si>
  <si>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</si>
  <si>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</si>
  <si>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</si>
  <si>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</si>
  <si>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</si>
  <si>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</si>
  <si>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</si>
  <si>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</si>
  <si>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</si>
  <si>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</si>
  <si>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</si>
  <si>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</si>
  <si>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</si>
  <si>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</si>
  <si>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</si>
  <si>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</si>
  <si>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</si>
  <si>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</si>
  <si>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</si>
  <si>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</si>
  <si>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</si>
  <si>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</si>
  <si>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</si>
  <si>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</si>
  <si>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</si>
  <si>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</si>
  <si>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</si>
  <si>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</si>
  <si>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</si>
  <si>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</si>
  <si>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</si>
  <si>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</si>
  <si>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</si>
  <si>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</si>
  <si>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</si>
  <si>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</si>
  <si>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</si>
  <si>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</si>
  <si>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</si>
  <si>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</si>
  <si>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</si>
  <si>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</si>
  <si>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</si>
  <si>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</si>
  <si>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</si>
  <si>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</si>
  <si>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</si>
  <si>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</si>
  <si>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</si>
  <si>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</si>
  <si>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</si>
  <si>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</si>
  <si>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</si>
  <si>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</si>
  <si>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</si>
  <si>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</si>
  <si>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</si>
  <si>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</si>
  <si>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</si>
  <si>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</si>
  <si>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</si>
  <si>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</si>
  <si>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</si>
  <si>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</si>
  <si>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</si>
  <si>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</si>
  <si>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</si>
  <si>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</si>
  <si>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</si>
  <si>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</si>
  <si>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</si>
  <si>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</si>
  <si>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</si>
  <si>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</si>
  <si>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</si>
  <si>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</si>
  <si>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</si>
  <si>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</si>
  <si>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</si>
  <si>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</si>
  <si>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</si>
  <si>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</si>
  <si>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</si>
  <si>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</si>
  <si>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</si>
  <si>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</si>
  <si>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</si>
  <si>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</si>
  <si>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</si>
  <si>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</si>
  <si>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</si>
  <si>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</si>
  <si>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</si>
  <si>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</si>
  <si>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</si>
  <si>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</si>
  <si>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</si>
  <si>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</si>
  <si>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</si>
  <si>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</si>
  <si>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</si>
  <si>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</si>
  <si>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</si>
  <si>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</si>
  <si>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</si>
  <si>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</si>
  <si>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</si>
  <si>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</si>
  <si>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</si>
  <si>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</si>
  <si>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</si>
  <si>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</si>
  <si>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</si>
  <si>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17h25min</t>
  </si>
  <si>
    <t>- 72h35min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</si>
</sst>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cellXfs>
  <cellStyles count="2">
    <cellStyle name="Lien hypertexte" xfId="1" builtinId="8"/>
    <cellStyle name="Normal" xfId="0" builtinId="0" customBuiltin="1"/>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0</c:v>
              </c:pt>
              <c:pt idx="1">
                <c:v>1</c:v>
              </c:pt>
              <c:pt idx="2">
                <c:v>7.9999998211860657E-2</c:v>
              </c:pt>
              <c:pt idx="3">
                <c:v>5.5</c:v>
              </c:pt>
              <c:pt idx="4">
                <c:v>0</c:v>
              </c:pt>
              <c:pt idx="5">
                <c:v>0.82999998331069946</c:v>
              </c:pt>
              <c:pt idx="6">
                <c:v>0</c:v>
              </c:pt>
              <c:pt idx="7">
                <c:v>0.33000001311302185</c:v>
              </c:pt>
              <c:pt idx="8">
                <c:v>1.1699999570846558</c:v>
              </c:pt>
              <c:pt idx="9">
                <c:v>0</c:v>
              </c:pt>
              <c:pt idx="10">
                <c:v>6</c:v>
              </c:pt>
              <c:pt idx="11">
                <c:v>0</c:v>
              </c:pt>
              <c:pt idx="12">
                <c:v>0</c:v>
              </c:pt>
              <c:pt idx="13">
                <c:v>0</c:v>
              </c:pt>
              <c:pt idx="14">
                <c:v>2</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wikipedia.org/wiki/Choc_%C3%A9lastique" TargetMode="External"/><Relationship Id="rId7" Type="http://schemas.openxmlformats.org/officeDocument/2006/relationships/vmlDrawing" Target="../drawings/vmlDrawing3.vml"/><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fr.wikipedia.org/wiki/Quantit%C3%A9_de_mouvement"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7" t="s">
        <v>31</v>
      </c>
      <c r="C35" s="197"/>
      <c r="D35" s="197"/>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8" t="s">
        <v>32</v>
      </c>
      <c r="C37" s="198"/>
      <c r="D37" s="198"/>
      <c r="E37" s="109" t="s">
        <v>181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182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63" zoomScale="70" zoomScaleNormal="70"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07" t="s">
        <v>30</v>
      </c>
      <c r="D1" s="207"/>
      <c r="E1" s="20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08"/>
      <c r="D7" s="208"/>
      <c r="E7" s="20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2" t="str">
        <f>E96</f>
        <v>90h</v>
      </c>
      <c r="H9" s="212"/>
      <c r="I9" s="212"/>
      <c r="J9" s="212"/>
      <c r="K9" s="212"/>
      <c r="L9" s="212"/>
      <c r="M9" s="212"/>
      <c r="N9" s="212"/>
      <c r="O9" s="212"/>
      <c r="P9" s="212"/>
      <c r="Q9" s="212"/>
      <c r="R9" s="212"/>
      <c r="S9" s="212"/>
      <c r="T9" s="212"/>
      <c r="U9" s="212"/>
      <c r="V9" s="119"/>
      <c r="W9" s="221" t="s">
        <v>22</v>
      </c>
      <c r="X9" s="221"/>
      <c r="Y9" s="221"/>
      <c r="Z9" s="221"/>
      <c r="AA9" s="221"/>
      <c r="AB9" s="221"/>
      <c r="AC9" s="221"/>
      <c r="AD9" s="221"/>
      <c r="AE9" s="221"/>
      <c r="AF9" s="221"/>
      <c r="AG9" s="221"/>
      <c r="AH9" s="212" t="str">
        <f>E98</f>
        <v>17h25min</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2"/>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199"/>
      <c r="BJO10" s="199"/>
      <c r="BJP10" s="199"/>
      <c r="BJQ10" s="199"/>
      <c r="BJR10" s="199"/>
      <c r="BJS10" s="199"/>
      <c r="BJT10" s="199"/>
      <c r="BJU10" s="199"/>
      <c r="BJV10" s="199"/>
      <c r="BJW10" s="199"/>
      <c r="BJX10" s="199"/>
      <c r="BJY10" s="199"/>
      <c r="BJZ10" s="199"/>
      <c r="BKA10" s="199"/>
      <c r="BKB10" s="199"/>
      <c r="BKC10" s="199"/>
      <c r="BKD10" s="199"/>
      <c r="BKE10" s="199"/>
      <c r="BKF10" s="199"/>
      <c r="BKG10" s="199"/>
      <c r="BKH10" s="199"/>
      <c r="BKI10" s="199"/>
      <c r="BKJ10" s="199"/>
      <c r="BKK10" s="199"/>
      <c r="BKL10" s="199"/>
      <c r="BKM10" s="199"/>
      <c r="BKN10" s="199"/>
      <c r="BKO10" s="199"/>
      <c r="BKP10" s="199"/>
      <c r="BKQ10" s="199"/>
      <c r="BKR10" s="199"/>
      <c r="BKS10" s="199"/>
      <c r="BKT10" s="199"/>
      <c r="BKU10" s="199"/>
      <c r="BKV10" s="199"/>
      <c r="BKW10" s="199"/>
      <c r="BKX10" s="199"/>
      <c r="BKY10" s="199"/>
      <c r="BKZ10" s="199"/>
      <c r="BLA10" s="199"/>
      <c r="BLB10" s="199"/>
      <c r="BLC10" s="199"/>
      <c r="BLD10" s="199"/>
      <c r="BLE10" s="199"/>
      <c r="BLF10" s="199"/>
      <c r="BLG10" s="199"/>
      <c r="BLH10" s="199"/>
      <c r="BLI10" s="199"/>
      <c r="BLJ10" s="199"/>
      <c r="BLK10" s="199"/>
      <c r="BLL10" s="199"/>
      <c r="BLM10" s="199"/>
      <c r="BLN10" s="199"/>
      <c r="BLO10" s="199"/>
      <c r="BLP10" s="199"/>
      <c r="BLQ10" s="199"/>
      <c r="BLR10" s="199"/>
      <c r="BLS10" s="199"/>
      <c r="BLT10" s="199"/>
      <c r="BLU10" s="199"/>
    </row>
    <row r="11" spans="1:1744" ht="20.100000000000001" customHeight="1" x14ac:dyDescent="0.25">
      <c r="B11" s="96"/>
      <c r="C11" s="217"/>
      <c r="D11" s="217"/>
      <c r="E11" s="217"/>
      <c r="F11" s="220" t="s">
        <v>86</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85</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0" t="s">
        <v>85</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83</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83</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81</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78</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78</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75</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75</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72</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72</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70</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67</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67</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61</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58</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58</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55</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55</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52</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52</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48</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48</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47</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47</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46</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200" t="s">
        <v>46</v>
      </c>
      <c r="BJO11" s="200"/>
      <c r="BJP11" s="200"/>
      <c r="BJQ11" s="200"/>
      <c r="BJR11" s="200"/>
      <c r="BJS11" s="200"/>
      <c r="BJT11" s="200"/>
      <c r="BJU11" s="200"/>
      <c r="BJV11" s="200"/>
      <c r="BJW11" s="200"/>
      <c r="BJX11" s="200"/>
      <c r="BJY11" s="200"/>
      <c r="BJZ11" s="200"/>
      <c r="BKA11" s="200"/>
      <c r="BKB11" s="200"/>
      <c r="BKC11" s="200"/>
      <c r="BKD11" s="200"/>
      <c r="BKE11" s="200"/>
      <c r="BKF11" s="200"/>
      <c r="BKG11" s="200"/>
      <c r="BKH11" s="200"/>
      <c r="BKI11" s="200"/>
      <c r="BKJ11" s="200"/>
      <c r="BKK11" s="200"/>
      <c r="BKL11" s="200"/>
      <c r="BKM11" s="200"/>
      <c r="BKN11" s="200"/>
      <c r="BKO11" s="200"/>
      <c r="BKP11" s="200"/>
      <c r="BKQ11" s="200"/>
      <c r="BKR11" s="200"/>
      <c r="BKS11" s="200"/>
      <c r="BKT11" s="200"/>
      <c r="BKU11" s="200"/>
      <c r="BKV11" s="200"/>
      <c r="BKW11" s="200"/>
      <c r="BKX11" s="200"/>
      <c r="BKY11" s="200"/>
      <c r="BKZ11" s="200"/>
      <c r="BLA11" s="200"/>
      <c r="BLB11" s="200"/>
      <c r="BLC11" s="200"/>
      <c r="BLD11" s="200"/>
      <c r="BLE11" s="200"/>
      <c r="BLF11" s="200"/>
      <c r="BLG11" s="200"/>
      <c r="BLH11" s="200"/>
      <c r="BLI11" s="200"/>
      <c r="BLJ11" s="200"/>
      <c r="BLK11" s="200"/>
      <c r="BLL11" s="200"/>
      <c r="BLM11" s="200"/>
      <c r="BLN11" s="200"/>
      <c r="BLO11" s="200"/>
      <c r="BLP11" s="200"/>
      <c r="BLQ11" s="200"/>
      <c r="BLR11" s="200"/>
      <c r="BLS11" s="200"/>
      <c r="BLT11" s="200"/>
      <c r="BLU11" s="200"/>
    </row>
    <row r="12" spans="1:1744" ht="15.75" customHeight="1" thickBot="1" x14ac:dyDescent="0.3">
      <c r="B12" s="97"/>
      <c r="C12" s="218"/>
      <c r="D12" s="218"/>
      <c r="E12" s="218"/>
      <c r="F12" s="219" t="s">
        <v>44</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45</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1" t="s">
        <v>44</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45</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44</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45</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45</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44</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45</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44</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45</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44</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45</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45</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44</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45</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45</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44</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45</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44</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45</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44</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45</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44</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45</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44</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45</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201" t="s">
        <v>44</v>
      </c>
      <c r="BJO12" s="201"/>
      <c r="BJP12" s="201"/>
      <c r="BJQ12" s="201"/>
      <c r="BJR12" s="201"/>
      <c r="BJS12" s="201"/>
      <c r="BJT12" s="201"/>
      <c r="BJU12" s="201"/>
      <c r="BJV12" s="201"/>
      <c r="BJW12" s="201"/>
      <c r="BJX12" s="201"/>
      <c r="BJY12" s="201"/>
      <c r="BJZ12" s="201"/>
      <c r="BKA12" s="201"/>
      <c r="BKB12" s="201"/>
      <c r="BKC12" s="201"/>
      <c r="BKD12" s="201"/>
      <c r="BKE12" s="201"/>
      <c r="BKF12" s="201"/>
      <c r="BKG12" s="201"/>
      <c r="BKH12" s="201"/>
      <c r="BKI12" s="201"/>
      <c r="BKJ12" s="201"/>
      <c r="BKK12" s="201"/>
      <c r="BKL12" s="201"/>
      <c r="BKM12" s="201"/>
      <c r="BKN12" s="201"/>
      <c r="BKO12" s="201"/>
      <c r="BKP12" s="201"/>
      <c r="BKQ12" s="201"/>
      <c r="BKR12" s="201"/>
      <c r="BKS12" s="201"/>
      <c r="BKT12" s="201"/>
      <c r="BKU12" s="201"/>
      <c r="BKV12" s="201"/>
      <c r="BKW12" s="201"/>
      <c r="BKX12" s="201"/>
      <c r="BKY12" s="201"/>
      <c r="BKZ12" s="201"/>
      <c r="BLA12" s="201"/>
      <c r="BLB12" s="201"/>
      <c r="BLC12" s="201"/>
      <c r="BLD12" s="201"/>
      <c r="BLE12" s="201"/>
      <c r="BLF12" s="201"/>
      <c r="BLG12" s="201"/>
      <c r="BLH12" s="201"/>
      <c r="BLI12" s="201"/>
      <c r="BLJ12" s="201"/>
      <c r="BLK12" s="201"/>
      <c r="BLL12" s="201"/>
      <c r="BLM12" s="201"/>
      <c r="BLN12" s="201"/>
      <c r="BLO12" s="201"/>
      <c r="BLP12" s="201"/>
      <c r="BLQ12" s="201"/>
      <c r="BLR12" s="201"/>
      <c r="BLS12" s="201"/>
      <c r="BLT12" s="201"/>
      <c r="BLU12" s="201"/>
    </row>
    <row r="13" spans="1:1744" ht="42.75" customHeight="1" thickBot="1" x14ac:dyDescent="0.3">
      <c r="B13" s="96"/>
      <c r="C13" s="213" t="s">
        <v>7</v>
      </c>
      <c r="D13" s="144"/>
      <c r="E13" s="215" t="s">
        <v>38</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27</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18</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84</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82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80</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79</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77</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76</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74</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73</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71</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69</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68</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66</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65</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64</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63</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62</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60</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59</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57</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56</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54</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53</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51</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50</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202" t="s">
        <v>49</v>
      </c>
      <c r="BJO13" s="203"/>
      <c r="BJP13" s="203"/>
      <c r="BJQ13" s="203"/>
      <c r="BJR13" s="203"/>
      <c r="BJS13" s="203"/>
      <c r="BJT13" s="203"/>
      <c r="BJU13" s="203"/>
      <c r="BJV13" s="203"/>
      <c r="BJW13" s="203"/>
      <c r="BJX13" s="203"/>
      <c r="BJY13" s="203"/>
      <c r="BJZ13" s="203"/>
      <c r="BKA13" s="203"/>
      <c r="BKB13" s="203"/>
      <c r="BKC13" s="203"/>
      <c r="BKD13" s="203"/>
      <c r="BKE13" s="203"/>
      <c r="BKF13" s="203"/>
      <c r="BKG13" s="203"/>
      <c r="BKH13" s="203"/>
      <c r="BKI13" s="203"/>
      <c r="BKJ13" s="203"/>
      <c r="BKK13" s="203"/>
      <c r="BKL13" s="203"/>
      <c r="BKM13" s="203"/>
      <c r="BKN13" s="203"/>
      <c r="BKO13" s="203"/>
      <c r="BKP13" s="203"/>
      <c r="BKQ13" s="203"/>
      <c r="BKR13" s="203"/>
      <c r="BKS13" s="203"/>
      <c r="BKT13" s="203"/>
      <c r="BKU13" s="203"/>
      <c r="BKV13" s="203"/>
      <c r="BKW13" s="203"/>
      <c r="BKX13" s="203"/>
      <c r="BKY13" s="203"/>
      <c r="BKZ13" s="203"/>
      <c r="BLA13" s="203"/>
      <c r="BLB13" s="203"/>
      <c r="BLC13" s="203"/>
      <c r="BLD13" s="203"/>
      <c r="BLE13" s="203"/>
      <c r="BLF13" s="203"/>
      <c r="BLG13" s="203"/>
      <c r="BLH13" s="203"/>
      <c r="BLI13" s="203"/>
      <c r="BLJ13" s="203"/>
      <c r="BLK13" s="203"/>
      <c r="BLL13" s="203"/>
      <c r="BLM13" s="203"/>
      <c r="BLN13" s="203"/>
      <c r="BLO13" s="203"/>
      <c r="BLP13" s="203"/>
      <c r="BLQ13" s="203"/>
      <c r="BLR13" s="203"/>
      <c r="BLS13" s="203"/>
      <c r="BLT13" s="203"/>
      <c r="BLU13" s="204"/>
    </row>
    <row r="14" spans="1:1744" ht="12.75" customHeight="1" thickBot="1" x14ac:dyDescent="0.35">
      <c r="B14" s="96"/>
      <c r="C14" s="214"/>
      <c r="D14" s="145"/>
      <c r="E14" s="216"/>
      <c r="F14" s="103"/>
      <c r="G14" s="104"/>
      <c r="H14" s="104"/>
      <c r="I14" s="104"/>
      <c r="J14" s="205" t="s">
        <v>33</v>
      </c>
      <c r="K14" s="205"/>
      <c r="L14" s="205"/>
      <c r="M14" s="205"/>
      <c r="N14" s="104"/>
      <c r="O14" s="104"/>
      <c r="P14" s="206" t="s">
        <v>23</v>
      </c>
      <c r="Q14" s="206"/>
      <c r="R14" s="206"/>
      <c r="S14" s="206"/>
      <c r="T14" s="129"/>
      <c r="U14" s="129"/>
      <c r="V14" s="205" t="s">
        <v>34</v>
      </c>
      <c r="W14" s="205"/>
      <c r="X14" s="205"/>
      <c r="Y14" s="205"/>
      <c r="Z14" s="104"/>
      <c r="AA14" s="104"/>
      <c r="AB14" s="206" t="s">
        <v>24</v>
      </c>
      <c r="AC14" s="206"/>
      <c r="AD14" s="206"/>
      <c r="AE14" s="206"/>
      <c r="AF14" s="129"/>
      <c r="AG14" s="129"/>
      <c r="AH14" s="205" t="s">
        <v>35</v>
      </c>
      <c r="AI14" s="205"/>
      <c r="AJ14" s="205"/>
      <c r="AK14" s="205"/>
      <c r="AL14" s="104"/>
      <c r="AM14" s="104"/>
      <c r="AN14" s="206" t="s">
        <v>25</v>
      </c>
      <c r="AO14" s="206"/>
      <c r="AP14" s="206"/>
      <c r="AQ14" s="206"/>
      <c r="AR14" s="129"/>
      <c r="AS14" s="129"/>
      <c r="AT14" s="205" t="s">
        <v>36</v>
      </c>
      <c r="AU14" s="205"/>
      <c r="AV14" s="205"/>
      <c r="AW14" s="205"/>
      <c r="AX14" s="104"/>
      <c r="AY14" s="104"/>
      <c r="AZ14" s="206" t="s">
        <v>26</v>
      </c>
      <c r="BA14" s="206"/>
      <c r="BB14" s="206"/>
      <c r="BC14" s="206"/>
      <c r="BD14" s="129"/>
      <c r="BE14" s="129"/>
      <c r="BF14" s="205" t="s">
        <v>37</v>
      </c>
      <c r="BG14" s="205"/>
      <c r="BH14" s="205"/>
      <c r="BI14" s="205"/>
      <c r="BJ14" s="104"/>
      <c r="BK14" s="104"/>
      <c r="BL14" s="104"/>
      <c r="BM14" s="105"/>
      <c r="BN14" s="103"/>
      <c r="BO14" s="104"/>
      <c r="BP14" s="104"/>
      <c r="BQ14" s="104"/>
      <c r="BR14" s="205" t="s">
        <v>33</v>
      </c>
      <c r="BS14" s="205"/>
      <c r="BT14" s="205"/>
      <c r="BU14" s="205"/>
      <c r="BV14" s="104"/>
      <c r="BW14" s="104"/>
      <c r="BX14" s="206" t="s">
        <v>23</v>
      </c>
      <c r="BY14" s="206"/>
      <c r="BZ14" s="206"/>
      <c r="CA14" s="206"/>
      <c r="CB14" s="129"/>
      <c r="CC14" s="129"/>
      <c r="CD14" s="205" t="s">
        <v>34</v>
      </c>
      <c r="CE14" s="205"/>
      <c r="CF14" s="205"/>
      <c r="CG14" s="205"/>
      <c r="CH14" s="104"/>
      <c r="CI14" s="104"/>
      <c r="CJ14" s="206" t="s">
        <v>24</v>
      </c>
      <c r="CK14" s="206"/>
      <c r="CL14" s="206"/>
      <c r="CM14" s="206"/>
      <c r="CN14" s="129"/>
      <c r="CO14" s="129"/>
      <c r="CP14" s="205" t="s">
        <v>35</v>
      </c>
      <c r="CQ14" s="205"/>
      <c r="CR14" s="205"/>
      <c r="CS14" s="205"/>
      <c r="CT14" s="104"/>
      <c r="CU14" s="104"/>
      <c r="CV14" s="206" t="s">
        <v>25</v>
      </c>
      <c r="CW14" s="206"/>
      <c r="CX14" s="206"/>
      <c r="CY14" s="206"/>
      <c r="CZ14" s="129"/>
      <c r="DA14" s="129"/>
      <c r="DB14" s="205" t="s">
        <v>36</v>
      </c>
      <c r="DC14" s="205"/>
      <c r="DD14" s="205"/>
      <c r="DE14" s="205"/>
      <c r="DF14" s="104"/>
      <c r="DG14" s="104"/>
      <c r="DH14" s="206" t="s">
        <v>26</v>
      </c>
      <c r="DI14" s="206"/>
      <c r="DJ14" s="206"/>
      <c r="DK14" s="206"/>
      <c r="DL14" s="129"/>
      <c r="DM14" s="129"/>
      <c r="DN14" s="205" t="s">
        <v>37</v>
      </c>
      <c r="DO14" s="205"/>
      <c r="DP14" s="205"/>
      <c r="DQ14" s="205"/>
      <c r="DR14" s="104"/>
      <c r="DS14" s="104"/>
      <c r="DT14" s="104"/>
      <c r="DU14" s="105"/>
      <c r="DV14" s="103"/>
      <c r="DW14" s="104"/>
      <c r="DX14" s="104"/>
      <c r="DY14" s="104"/>
      <c r="DZ14" s="205" t="s">
        <v>33</v>
      </c>
      <c r="EA14" s="205"/>
      <c r="EB14" s="205"/>
      <c r="EC14" s="205"/>
      <c r="ED14" s="104"/>
      <c r="EE14" s="104"/>
      <c r="EF14" s="206" t="s">
        <v>23</v>
      </c>
      <c r="EG14" s="206"/>
      <c r="EH14" s="206"/>
      <c r="EI14" s="206"/>
      <c r="EJ14" s="129"/>
      <c r="EK14" s="129"/>
      <c r="EL14" s="205" t="s">
        <v>34</v>
      </c>
      <c r="EM14" s="205"/>
      <c r="EN14" s="205"/>
      <c r="EO14" s="205"/>
      <c r="EP14" s="104"/>
      <c r="EQ14" s="104"/>
      <c r="ER14" s="206" t="s">
        <v>24</v>
      </c>
      <c r="ES14" s="206"/>
      <c r="ET14" s="206"/>
      <c r="EU14" s="206"/>
      <c r="EV14" s="129"/>
      <c r="EW14" s="129"/>
      <c r="EX14" s="205" t="s">
        <v>35</v>
      </c>
      <c r="EY14" s="205"/>
      <c r="EZ14" s="205"/>
      <c r="FA14" s="205"/>
      <c r="FB14" s="104"/>
      <c r="FC14" s="104"/>
      <c r="FD14" s="206" t="s">
        <v>25</v>
      </c>
      <c r="FE14" s="206"/>
      <c r="FF14" s="206"/>
      <c r="FG14" s="206"/>
      <c r="FH14" s="129"/>
      <c r="FI14" s="129"/>
      <c r="FJ14" s="205" t="s">
        <v>36</v>
      </c>
      <c r="FK14" s="205"/>
      <c r="FL14" s="205"/>
      <c r="FM14" s="205"/>
      <c r="FN14" s="104"/>
      <c r="FO14" s="104"/>
      <c r="FP14" s="206" t="s">
        <v>26</v>
      </c>
      <c r="FQ14" s="206"/>
      <c r="FR14" s="206"/>
      <c r="FS14" s="206"/>
      <c r="FT14" s="129"/>
      <c r="FU14" s="129"/>
      <c r="FV14" s="205" t="s">
        <v>37</v>
      </c>
      <c r="FW14" s="205"/>
      <c r="FX14" s="205"/>
      <c r="FY14" s="205"/>
      <c r="FZ14" s="104"/>
      <c r="GA14" s="104"/>
      <c r="GB14" s="104"/>
      <c r="GC14" s="105"/>
      <c r="GD14" s="103"/>
      <c r="GE14" s="104"/>
      <c r="GF14" s="104"/>
      <c r="GG14" s="104"/>
      <c r="GH14" s="205" t="s">
        <v>33</v>
      </c>
      <c r="GI14" s="205"/>
      <c r="GJ14" s="205"/>
      <c r="GK14" s="205"/>
      <c r="GL14" s="104"/>
      <c r="GM14" s="104"/>
      <c r="GN14" s="206" t="s">
        <v>23</v>
      </c>
      <c r="GO14" s="206"/>
      <c r="GP14" s="206"/>
      <c r="GQ14" s="206"/>
      <c r="GR14" s="129"/>
      <c r="GS14" s="129"/>
      <c r="GT14" s="205" t="s">
        <v>34</v>
      </c>
      <c r="GU14" s="205"/>
      <c r="GV14" s="205"/>
      <c r="GW14" s="205"/>
      <c r="GX14" s="104"/>
      <c r="GY14" s="104"/>
      <c r="GZ14" s="206" t="s">
        <v>24</v>
      </c>
      <c r="HA14" s="206"/>
      <c r="HB14" s="206"/>
      <c r="HC14" s="206"/>
      <c r="HD14" s="129"/>
      <c r="HE14" s="129"/>
      <c r="HF14" s="205" t="s">
        <v>35</v>
      </c>
      <c r="HG14" s="205"/>
      <c r="HH14" s="205"/>
      <c r="HI14" s="205"/>
      <c r="HJ14" s="104"/>
      <c r="HK14" s="104"/>
      <c r="HL14" s="206" t="s">
        <v>25</v>
      </c>
      <c r="HM14" s="206"/>
      <c r="HN14" s="206"/>
      <c r="HO14" s="206"/>
      <c r="HP14" s="129"/>
      <c r="HQ14" s="129"/>
      <c r="HR14" s="205" t="s">
        <v>36</v>
      </c>
      <c r="HS14" s="205"/>
      <c r="HT14" s="205"/>
      <c r="HU14" s="205"/>
      <c r="HV14" s="104"/>
      <c r="HW14" s="104"/>
      <c r="HX14" s="206" t="s">
        <v>26</v>
      </c>
      <c r="HY14" s="206"/>
      <c r="HZ14" s="206"/>
      <c r="IA14" s="206"/>
      <c r="IB14" s="129"/>
      <c r="IC14" s="129"/>
      <c r="ID14" s="205" t="s">
        <v>37</v>
      </c>
      <c r="IE14" s="205"/>
      <c r="IF14" s="205"/>
      <c r="IG14" s="205"/>
      <c r="IH14" s="104"/>
      <c r="II14" s="104"/>
      <c r="IJ14" s="104"/>
      <c r="IK14" s="105"/>
      <c r="IL14" s="103"/>
      <c r="IM14" s="104"/>
      <c r="IN14" s="104"/>
      <c r="IO14" s="104"/>
      <c r="IP14" s="205" t="s">
        <v>33</v>
      </c>
      <c r="IQ14" s="205"/>
      <c r="IR14" s="205"/>
      <c r="IS14" s="205"/>
      <c r="IT14" s="104"/>
      <c r="IU14" s="104"/>
      <c r="IV14" s="206" t="s">
        <v>23</v>
      </c>
      <c r="IW14" s="206"/>
      <c r="IX14" s="206"/>
      <c r="IY14" s="206"/>
      <c r="IZ14" s="129"/>
      <c r="JA14" s="129"/>
      <c r="JB14" s="205" t="s">
        <v>34</v>
      </c>
      <c r="JC14" s="205"/>
      <c r="JD14" s="205"/>
      <c r="JE14" s="205"/>
      <c r="JF14" s="104"/>
      <c r="JG14" s="104"/>
      <c r="JH14" s="206" t="s">
        <v>24</v>
      </c>
      <c r="JI14" s="206"/>
      <c r="JJ14" s="206"/>
      <c r="JK14" s="206"/>
      <c r="JL14" s="129"/>
      <c r="JM14" s="129"/>
      <c r="JN14" s="205" t="s">
        <v>35</v>
      </c>
      <c r="JO14" s="205"/>
      <c r="JP14" s="205"/>
      <c r="JQ14" s="205"/>
      <c r="JR14" s="104"/>
      <c r="JS14" s="104"/>
      <c r="JT14" s="206" t="s">
        <v>25</v>
      </c>
      <c r="JU14" s="206"/>
      <c r="JV14" s="206"/>
      <c r="JW14" s="206"/>
      <c r="JX14" s="129"/>
      <c r="JY14" s="129"/>
      <c r="JZ14" s="205" t="s">
        <v>36</v>
      </c>
      <c r="KA14" s="205"/>
      <c r="KB14" s="205"/>
      <c r="KC14" s="205"/>
      <c r="KD14" s="104"/>
      <c r="KE14" s="104"/>
      <c r="KF14" s="206" t="s">
        <v>26</v>
      </c>
      <c r="KG14" s="206"/>
      <c r="KH14" s="206"/>
      <c r="KI14" s="206"/>
      <c r="KJ14" s="129"/>
      <c r="KK14" s="129"/>
      <c r="KL14" s="205" t="s">
        <v>37</v>
      </c>
      <c r="KM14" s="205"/>
      <c r="KN14" s="205"/>
      <c r="KO14" s="205"/>
      <c r="KP14" s="104"/>
      <c r="KQ14" s="104"/>
      <c r="KR14" s="104"/>
      <c r="KS14" s="105"/>
      <c r="KT14" s="103"/>
      <c r="KU14" s="104"/>
      <c r="KV14" s="104"/>
      <c r="KW14" s="104"/>
      <c r="KX14" s="205" t="s">
        <v>33</v>
      </c>
      <c r="KY14" s="205"/>
      <c r="KZ14" s="205"/>
      <c r="LA14" s="205"/>
      <c r="LB14" s="104"/>
      <c r="LC14" s="104"/>
      <c r="LD14" s="206" t="s">
        <v>23</v>
      </c>
      <c r="LE14" s="206"/>
      <c r="LF14" s="206"/>
      <c r="LG14" s="206"/>
      <c r="LH14" s="129"/>
      <c r="LI14" s="129"/>
      <c r="LJ14" s="205" t="s">
        <v>34</v>
      </c>
      <c r="LK14" s="205"/>
      <c r="LL14" s="205"/>
      <c r="LM14" s="205"/>
      <c r="LN14" s="104"/>
      <c r="LO14" s="104"/>
      <c r="LP14" s="206" t="s">
        <v>24</v>
      </c>
      <c r="LQ14" s="206"/>
      <c r="LR14" s="206"/>
      <c r="LS14" s="206"/>
      <c r="LT14" s="129"/>
      <c r="LU14" s="129"/>
      <c r="LV14" s="205" t="s">
        <v>35</v>
      </c>
      <c r="LW14" s="205"/>
      <c r="LX14" s="205"/>
      <c r="LY14" s="205"/>
      <c r="LZ14" s="104"/>
      <c r="MA14" s="104"/>
      <c r="MB14" s="206" t="s">
        <v>25</v>
      </c>
      <c r="MC14" s="206"/>
      <c r="MD14" s="206"/>
      <c r="ME14" s="206"/>
      <c r="MF14" s="129"/>
      <c r="MG14" s="129"/>
      <c r="MH14" s="205" t="s">
        <v>36</v>
      </c>
      <c r="MI14" s="205"/>
      <c r="MJ14" s="205"/>
      <c r="MK14" s="205"/>
      <c r="ML14" s="104"/>
      <c r="MM14" s="104"/>
      <c r="MN14" s="206" t="s">
        <v>26</v>
      </c>
      <c r="MO14" s="206"/>
      <c r="MP14" s="206"/>
      <c r="MQ14" s="206"/>
      <c r="MR14" s="129"/>
      <c r="MS14" s="129"/>
      <c r="MT14" s="205" t="s">
        <v>37</v>
      </c>
      <c r="MU14" s="205"/>
      <c r="MV14" s="205"/>
      <c r="MW14" s="205"/>
      <c r="MX14" s="104"/>
      <c r="MY14" s="104"/>
      <c r="MZ14" s="104"/>
      <c r="NA14" s="105"/>
      <c r="NB14" s="103"/>
      <c r="NC14" s="104"/>
      <c r="ND14" s="104"/>
      <c r="NE14" s="104"/>
      <c r="NF14" s="205" t="s">
        <v>33</v>
      </c>
      <c r="NG14" s="205"/>
      <c r="NH14" s="205"/>
      <c r="NI14" s="205"/>
      <c r="NJ14" s="104"/>
      <c r="NK14" s="104"/>
      <c r="NL14" s="206" t="s">
        <v>23</v>
      </c>
      <c r="NM14" s="206"/>
      <c r="NN14" s="206"/>
      <c r="NO14" s="206"/>
      <c r="NP14" s="129"/>
      <c r="NQ14" s="129"/>
      <c r="NR14" s="205" t="s">
        <v>34</v>
      </c>
      <c r="NS14" s="205"/>
      <c r="NT14" s="205"/>
      <c r="NU14" s="205"/>
      <c r="NV14" s="104"/>
      <c r="NW14" s="104"/>
      <c r="NX14" s="206" t="s">
        <v>24</v>
      </c>
      <c r="NY14" s="206"/>
      <c r="NZ14" s="206"/>
      <c r="OA14" s="206"/>
      <c r="OB14" s="129"/>
      <c r="OC14" s="129"/>
      <c r="OD14" s="205" t="s">
        <v>35</v>
      </c>
      <c r="OE14" s="205"/>
      <c r="OF14" s="205"/>
      <c r="OG14" s="205"/>
      <c r="OH14" s="104"/>
      <c r="OI14" s="104"/>
      <c r="OJ14" s="206" t="s">
        <v>25</v>
      </c>
      <c r="OK14" s="206"/>
      <c r="OL14" s="206"/>
      <c r="OM14" s="206"/>
      <c r="ON14" s="129"/>
      <c r="OO14" s="129"/>
      <c r="OP14" s="205" t="s">
        <v>36</v>
      </c>
      <c r="OQ14" s="205"/>
      <c r="OR14" s="205"/>
      <c r="OS14" s="205"/>
      <c r="OT14" s="104"/>
      <c r="OU14" s="104"/>
      <c r="OV14" s="206" t="s">
        <v>26</v>
      </c>
      <c r="OW14" s="206"/>
      <c r="OX14" s="206"/>
      <c r="OY14" s="206"/>
      <c r="OZ14" s="129"/>
      <c r="PA14" s="129"/>
      <c r="PB14" s="205" t="s">
        <v>37</v>
      </c>
      <c r="PC14" s="205"/>
      <c r="PD14" s="205"/>
      <c r="PE14" s="205"/>
      <c r="PF14" s="104"/>
      <c r="PG14" s="104"/>
      <c r="PH14" s="104"/>
      <c r="PI14" s="105"/>
      <c r="PJ14" s="103"/>
      <c r="PK14" s="104"/>
      <c r="PL14" s="104"/>
      <c r="PM14" s="104"/>
      <c r="PN14" s="205" t="s">
        <v>33</v>
      </c>
      <c r="PO14" s="205"/>
      <c r="PP14" s="205"/>
      <c r="PQ14" s="205"/>
      <c r="PR14" s="104"/>
      <c r="PS14" s="104"/>
      <c r="PT14" s="206" t="s">
        <v>23</v>
      </c>
      <c r="PU14" s="206"/>
      <c r="PV14" s="206"/>
      <c r="PW14" s="206"/>
      <c r="PX14" s="129"/>
      <c r="PY14" s="129"/>
      <c r="PZ14" s="205" t="s">
        <v>34</v>
      </c>
      <c r="QA14" s="205"/>
      <c r="QB14" s="205"/>
      <c r="QC14" s="205"/>
      <c r="QD14" s="104"/>
      <c r="QE14" s="104"/>
      <c r="QF14" s="206" t="s">
        <v>24</v>
      </c>
      <c r="QG14" s="206"/>
      <c r="QH14" s="206"/>
      <c r="QI14" s="206"/>
      <c r="QJ14" s="129"/>
      <c r="QK14" s="129"/>
      <c r="QL14" s="205" t="s">
        <v>35</v>
      </c>
      <c r="QM14" s="205"/>
      <c r="QN14" s="205"/>
      <c r="QO14" s="205"/>
      <c r="QP14" s="104"/>
      <c r="QQ14" s="104"/>
      <c r="QR14" s="206" t="s">
        <v>25</v>
      </c>
      <c r="QS14" s="206"/>
      <c r="QT14" s="206"/>
      <c r="QU14" s="206"/>
      <c r="QV14" s="129"/>
      <c r="QW14" s="129"/>
      <c r="QX14" s="205" t="s">
        <v>36</v>
      </c>
      <c r="QY14" s="205"/>
      <c r="QZ14" s="205"/>
      <c r="RA14" s="205"/>
      <c r="RB14" s="104"/>
      <c r="RC14" s="104"/>
      <c r="RD14" s="206" t="s">
        <v>26</v>
      </c>
      <c r="RE14" s="206"/>
      <c r="RF14" s="206"/>
      <c r="RG14" s="206"/>
      <c r="RH14" s="129"/>
      <c r="RI14" s="129"/>
      <c r="RJ14" s="205" t="s">
        <v>37</v>
      </c>
      <c r="RK14" s="205"/>
      <c r="RL14" s="205"/>
      <c r="RM14" s="205"/>
      <c r="RN14" s="104"/>
      <c r="RO14" s="104"/>
      <c r="RP14" s="104"/>
      <c r="RQ14" s="105"/>
      <c r="RR14" s="103"/>
      <c r="RS14" s="104"/>
      <c r="RT14" s="104"/>
      <c r="RU14" s="104"/>
      <c r="RV14" s="205" t="s">
        <v>33</v>
      </c>
      <c r="RW14" s="205"/>
      <c r="RX14" s="205"/>
      <c r="RY14" s="205"/>
      <c r="RZ14" s="104"/>
      <c r="SA14" s="104"/>
      <c r="SB14" s="206" t="s">
        <v>23</v>
      </c>
      <c r="SC14" s="206"/>
      <c r="SD14" s="206"/>
      <c r="SE14" s="206"/>
      <c r="SF14" s="129"/>
      <c r="SG14" s="129"/>
      <c r="SH14" s="205" t="s">
        <v>34</v>
      </c>
      <c r="SI14" s="205"/>
      <c r="SJ14" s="205"/>
      <c r="SK14" s="205"/>
      <c r="SL14" s="104"/>
      <c r="SM14" s="104"/>
      <c r="SN14" s="206" t="s">
        <v>24</v>
      </c>
      <c r="SO14" s="206"/>
      <c r="SP14" s="206"/>
      <c r="SQ14" s="206"/>
      <c r="SR14" s="129"/>
      <c r="SS14" s="129"/>
      <c r="ST14" s="205" t="s">
        <v>35</v>
      </c>
      <c r="SU14" s="205"/>
      <c r="SV14" s="205"/>
      <c r="SW14" s="205"/>
      <c r="SX14" s="104"/>
      <c r="SY14" s="104"/>
      <c r="SZ14" s="206" t="s">
        <v>25</v>
      </c>
      <c r="TA14" s="206"/>
      <c r="TB14" s="206"/>
      <c r="TC14" s="206"/>
      <c r="TD14" s="129"/>
      <c r="TE14" s="129"/>
      <c r="TF14" s="205" t="s">
        <v>36</v>
      </c>
      <c r="TG14" s="205"/>
      <c r="TH14" s="205"/>
      <c r="TI14" s="205"/>
      <c r="TJ14" s="104"/>
      <c r="TK14" s="104"/>
      <c r="TL14" s="206" t="s">
        <v>26</v>
      </c>
      <c r="TM14" s="206"/>
      <c r="TN14" s="206"/>
      <c r="TO14" s="206"/>
      <c r="TP14" s="129"/>
      <c r="TQ14" s="129"/>
      <c r="TR14" s="205" t="s">
        <v>37</v>
      </c>
      <c r="TS14" s="205"/>
      <c r="TT14" s="205"/>
      <c r="TU14" s="205"/>
      <c r="TV14" s="104"/>
      <c r="TW14" s="104"/>
      <c r="TX14" s="104"/>
      <c r="TY14" s="105"/>
      <c r="TZ14" s="103"/>
      <c r="UA14" s="104"/>
      <c r="UB14" s="104"/>
      <c r="UC14" s="104"/>
      <c r="UD14" s="205" t="s">
        <v>33</v>
      </c>
      <c r="UE14" s="205"/>
      <c r="UF14" s="205"/>
      <c r="UG14" s="205"/>
      <c r="UH14" s="104"/>
      <c r="UI14" s="104"/>
      <c r="UJ14" s="206" t="s">
        <v>23</v>
      </c>
      <c r="UK14" s="206"/>
      <c r="UL14" s="206"/>
      <c r="UM14" s="206"/>
      <c r="UN14" s="129"/>
      <c r="UO14" s="129"/>
      <c r="UP14" s="205" t="s">
        <v>34</v>
      </c>
      <c r="UQ14" s="205"/>
      <c r="UR14" s="205"/>
      <c r="US14" s="205"/>
      <c r="UT14" s="104"/>
      <c r="UU14" s="104"/>
      <c r="UV14" s="206" t="s">
        <v>24</v>
      </c>
      <c r="UW14" s="206"/>
      <c r="UX14" s="206"/>
      <c r="UY14" s="206"/>
      <c r="UZ14" s="129"/>
      <c r="VA14" s="129"/>
      <c r="VB14" s="205" t="s">
        <v>35</v>
      </c>
      <c r="VC14" s="205"/>
      <c r="VD14" s="205"/>
      <c r="VE14" s="205"/>
      <c r="VF14" s="104"/>
      <c r="VG14" s="104"/>
      <c r="VH14" s="206" t="s">
        <v>25</v>
      </c>
      <c r="VI14" s="206"/>
      <c r="VJ14" s="206"/>
      <c r="VK14" s="206"/>
      <c r="VL14" s="129"/>
      <c r="VM14" s="129"/>
      <c r="VN14" s="205" t="s">
        <v>36</v>
      </c>
      <c r="VO14" s="205"/>
      <c r="VP14" s="205"/>
      <c r="VQ14" s="205"/>
      <c r="VR14" s="104"/>
      <c r="VS14" s="104"/>
      <c r="VT14" s="206" t="s">
        <v>26</v>
      </c>
      <c r="VU14" s="206"/>
      <c r="VV14" s="206"/>
      <c r="VW14" s="206"/>
      <c r="VX14" s="129"/>
      <c r="VY14" s="129"/>
      <c r="VZ14" s="205" t="s">
        <v>37</v>
      </c>
      <c r="WA14" s="205"/>
      <c r="WB14" s="205"/>
      <c r="WC14" s="205"/>
      <c r="WD14" s="104"/>
      <c r="WE14" s="104"/>
      <c r="WF14" s="104"/>
      <c r="WG14" s="105"/>
      <c r="WH14" s="103"/>
      <c r="WI14" s="104"/>
      <c r="WJ14" s="104"/>
      <c r="WK14" s="104"/>
      <c r="WL14" s="205" t="s">
        <v>33</v>
      </c>
      <c r="WM14" s="205"/>
      <c r="WN14" s="205"/>
      <c r="WO14" s="205"/>
      <c r="WP14" s="104"/>
      <c r="WQ14" s="104"/>
      <c r="WR14" s="206" t="s">
        <v>23</v>
      </c>
      <c r="WS14" s="206"/>
      <c r="WT14" s="206"/>
      <c r="WU14" s="206"/>
      <c r="WV14" s="129"/>
      <c r="WW14" s="129"/>
      <c r="WX14" s="205" t="s">
        <v>34</v>
      </c>
      <c r="WY14" s="205"/>
      <c r="WZ14" s="205"/>
      <c r="XA14" s="205"/>
      <c r="XB14" s="104"/>
      <c r="XC14" s="104"/>
      <c r="XD14" s="206" t="s">
        <v>24</v>
      </c>
      <c r="XE14" s="206"/>
      <c r="XF14" s="206"/>
      <c r="XG14" s="206"/>
      <c r="XH14" s="129"/>
      <c r="XI14" s="129"/>
      <c r="XJ14" s="205" t="s">
        <v>35</v>
      </c>
      <c r="XK14" s="205"/>
      <c r="XL14" s="205"/>
      <c r="XM14" s="205"/>
      <c r="XN14" s="104"/>
      <c r="XO14" s="104"/>
      <c r="XP14" s="206" t="s">
        <v>25</v>
      </c>
      <c r="XQ14" s="206"/>
      <c r="XR14" s="206"/>
      <c r="XS14" s="206"/>
      <c r="XT14" s="129"/>
      <c r="XU14" s="129"/>
      <c r="XV14" s="205" t="s">
        <v>36</v>
      </c>
      <c r="XW14" s="205"/>
      <c r="XX14" s="205"/>
      <c r="XY14" s="205"/>
      <c r="XZ14" s="104"/>
      <c r="YA14" s="104"/>
      <c r="YB14" s="206" t="s">
        <v>26</v>
      </c>
      <c r="YC14" s="206"/>
      <c r="YD14" s="206"/>
      <c r="YE14" s="206"/>
      <c r="YF14" s="129"/>
      <c r="YG14" s="129"/>
      <c r="YH14" s="205" t="s">
        <v>37</v>
      </c>
      <c r="YI14" s="205"/>
      <c r="YJ14" s="205"/>
      <c r="YK14" s="205"/>
      <c r="YL14" s="104"/>
      <c r="YM14" s="104"/>
      <c r="YN14" s="104"/>
      <c r="YO14" s="105"/>
      <c r="YP14" s="103"/>
      <c r="YQ14" s="104"/>
      <c r="YR14" s="104"/>
      <c r="YS14" s="104"/>
      <c r="YT14" s="205" t="s">
        <v>33</v>
      </c>
      <c r="YU14" s="205"/>
      <c r="YV14" s="205"/>
      <c r="YW14" s="205"/>
      <c r="YX14" s="104"/>
      <c r="YY14" s="104"/>
      <c r="YZ14" s="206" t="s">
        <v>23</v>
      </c>
      <c r="ZA14" s="206"/>
      <c r="ZB14" s="206"/>
      <c r="ZC14" s="206"/>
      <c r="ZD14" s="129"/>
      <c r="ZE14" s="129"/>
      <c r="ZF14" s="205" t="s">
        <v>34</v>
      </c>
      <c r="ZG14" s="205"/>
      <c r="ZH14" s="205"/>
      <c r="ZI14" s="205"/>
      <c r="ZJ14" s="104"/>
      <c r="ZK14" s="104"/>
      <c r="ZL14" s="206" t="s">
        <v>24</v>
      </c>
      <c r="ZM14" s="206"/>
      <c r="ZN14" s="206"/>
      <c r="ZO14" s="206"/>
      <c r="ZP14" s="129"/>
      <c r="ZQ14" s="129"/>
      <c r="ZR14" s="205" t="s">
        <v>35</v>
      </c>
      <c r="ZS14" s="205"/>
      <c r="ZT14" s="205"/>
      <c r="ZU14" s="205"/>
      <c r="ZV14" s="104"/>
      <c r="ZW14" s="104"/>
      <c r="ZX14" s="206" t="s">
        <v>25</v>
      </c>
      <c r="ZY14" s="206"/>
      <c r="ZZ14" s="206"/>
      <c r="AAA14" s="206"/>
      <c r="AAB14" s="129"/>
      <c r="AAC14" s="129"/>
      <c r="AAD14" s="205" t="s">
        <v>36</v>
      </c>
      <c r="AAE14" s="205"/>
      <c r="AAF14" s="205"/>
      <c r="AAG14" s="205"/>
      <c r="AAH14" s="104"/>
      <c r="AAI14" s="104"/>
      <c r="AAJ14" s="206" t="s">
        <v>26</v>
      </c>
      <c r="AAK14" s="206"/>
      <c r="AAL14" s="206"/>
      <c r="AAM14" s="206"/>
      <c r="AAN14" s="129"/>
      <c r="AAO14" s="129"/>
      <c r="AAP14" s="205" t="s">
        <v>37</v>
      </c>
      <c r="AAQ14" s="205"/>
      <c r="AAR14" s="205"/>
      <c r="AAS14" s="205"/>
      <c r="AAT14" s="104"/>
      <c r="AAU14" s="104"/>
      <c r="AAV14" s="104"/>
      <c r="AAW14" s="105"/>
      <c r="AAX14" s="103"/>
      <c r="AAY14" s="104"/>
      <c r="AAZ14" s="104"/>
      <c r="ABA14" s="104"/>
      <c r="ABB14" s="205" t="s">
        <v>33</v>
      </c>
      <c r="ABC14" s="205"/>
      <c r="ABD14" s="205"/>
      <c r="ABE14" s="205"/>
      <c r="ABF14" s="104"/>
      <c r="ABG14" s="104"/>
      <c r="ABH14" s="206" t="s">
        <v>23</v>
      </c>
      <c r="ABI14" s="206"/>
      <c r="ABJ14" s="206"/>
      <c r="ABK14" s="206"/>
      <c r="ABL14" s="129"/>
      <c r="ABM14" s="129"/>
      <c r="ABN14" s="205" t="s">
        <v>34</v>
      </c>
      <c r="ABO14" s="205"/>
      <c r="ABP14" s="205"/>
      <c r="ABQ14" s="205"/>
      <c r="ABR14" s="104"/>
      <c r="ABS14" s="104"/>
      <c r="ABT14" s="206" t="s">
        <v>24</v>
      </c>
      <c r="ABU14" s="206"/>
      <c r="ABV14" s="206"/>
      <c r="ABW14" s="206"/>
      <c r="ABX14" s="129"/>
      <c r="ABY14" s="129"/>
      <c r="ABZ14" s="205" t="s">
        <v>35</v>
      </c>
      <c r="ACA14" s="205"/>
      <c r="ACB14" s="205"/>
      <c r="ACC14" s="205"/>
      <c r="ACD14" s="104"/>
      <c r="ACE14" s="104"/>
      <c r="ACF14" s="206" t="s">
        <v>25</v>
      </c>
      <c r="ACG14" s="206"/>
      <c r="ACH14" s="206"/>
      <c r="ACI14" s="206"/>
      <c r="ACJ14" s="129"/>
      <c r="ACK14" s="129"/>
      <c r="ACL14" s="205" t="s">
        <v>36</v>
      </c>
      <c r="ACM14" s="205"/>
      <c r="ACN14" s="205"/>
      <c r="ACO14" s="205"/>
      <c r="ACP14" s="104"/>
      <c r="ACQ14" s="104"/>
      <c r="ACR14" s="206" t="s">
        <v>26</v>
      </c>
      <c r="ACS14" s="206"/>
      <c r="ACT14" s="206"/>
      <c r="ACU14" s="206"/>
      <c r="ACV14" s="129"/>
      <c r="ACW14" s="129"/>
      <c r="ACX14" s="205" t="s">
        <v>37</v>
      </c>
      <c r="ACY14" s="205"/>
      <c r="ACZ14" s="205"/>
      <c r="ADA14" s="205"/>
      <c r="ADB14" s="104"/>
      <c r="ADC14" s="104"/>
      <c r="ADD14" s="104"/>
      <c r="ADE14" s="105"/>
      <c r="ADF14" s="103"/>
      <c r="ADG14" s="104"/>
      <c r="ADH14" s="104"/>
      <c r="ADI14" s="104"/>
      <c r="ADJ14" s="205" t="s">
        <v>33</v>
      </c>
      <c r="ADK14" s="205"/>
      <c r="ADL14" s="205"/>
      <c r="ADM14" s="205"/>
      <c r="ADN14" s="104"/>
      <c r="ADO14" s="104"/>
      <c r="ADP14" s="206" t="s">
        <v>23</v>
      </c>
      <c r="ADQ14" s="206"/>
      <c r="ADR14" s="206"/>
      <c r="ADS14" s="206"/>
      <c r="ADT14" s="129"/>
      <c r="ADU14" s="129"/>
      <c r="ADV14" s="205" t="s">
        <v>34</v>
      </c>
      <c r="ADW14" s="205"/>
      <c r="ADX14" s="205"/>
      <c r="ADY14" s="205"/>
      <c r="ADZ14" s="104"/>
      <c r="AEA14" s="104"/>
      <c r="AEB14" s="206" t="s">
        <v>24</v>
      </c>
      <c r="AEC14" s="206"/>
      <c r="AED14" s="206"/>
      <c r="AEE14" s="206"/>
      <c r="AEF14" s="129"/>
      <c r="AEG14" s="129"/>
      <c r="AEH14" s="205" t="s">
        <v>35</v>
      </c>
      <c r="AEI14" s="205"/>
      <c r="AEJ14" s="205"/>
      <c r="AEK14" s="205"/>
      <c r="AEL14" s="104"/>
      <c r="AEM14" s="104"/>
      <c r="AEN14" s="206" t="s">
        <v>25</v>
      </c>
      <c r="AEO14" s="206"/>
      <c r="AEP14" s="206"/>
      <c r="AEQ14" s="206"/>
      <c r="AER14" s="129"/>
      <c r="AES14" s="129"/>
      <c r="AET14" s="205" t="s">
        <v>36</v>
      </c>
      <c r="AEU14" s="205"/>
      <c r="AEV14" s="205"/>
      <c r="AEW14" s="205"/>
      <c r="AEX14" s="104"/>
      <c r="AEY14" s="104"/>
      <c r="AEZ14" s="206" t="s">
        <v>26</v>
      </c>
      <c r="AFA14" s="206"/>
      <c r="AFB14" s="206"/>
      <c r="AFC14" s="206"/>
      <c r="AFD14" s="129"/>
      <c r="AFE14" s="129"/>
      <c r="AFF14" s="205" t="s">
        <v>37</v>
      </c>
      <c r="AFG14" s="205"/>
      <c r="AFH14" s="205"/>
      <c r="AFI14" s="205"/>
      <c r="AFJ14" s="104"/>
      <c r="AFK14" s="104"/>
      <c r="AFL14" s="104"/>
      <c r="AFM14" s="105"/>
      <c r="AFN14" s="103"/>
      <c r="AFO14" s="104"/>
      <c r="AFP14" s="104"/>
      <c r="AFQ14" s="104"/>
      <c r="AFR14" s="205" t="s">
        <v>33</v>
      </c>
      <c r="AFS14" s="205"/>
      <c r="AFT14" s="205"/>
      <c r="AFU14" s="205"/>
      <c r="AFV14" s="104"/>
      <c r="AFW14" s="104"/>
      <c r="AFX14" s="206" t="s">
        <v>23</v>
      </c>
      <c r="AFY14" s="206"/>
      <c r="AFZ14" s="206"/>
      <c r="AGA14" s="206"/>
      <c r="AGB14" s="129"/>
      <c r="AGC14" s="129"/>
      <c r="AGD14" s="205" t="s">
        <v>34</v>
      </c>
      <c r="AGE14" s="205"/>
      <c r="AGF14" s="205"/>
      <c r="AGG14" s="205"/>
      <c r="AGH14" s="104"/>
      <c r="AGI14" s="104"/>
      <c r="AGJ14" s="206" t="s">
        <v>24</v>
      </c>
      <c r="AGK14" s="206"/>
      <c r="AGL14" s="206"/>
      <c r="AGM14" s="206"/>
      <c r="AGN14" s="129"/>
      <c r="AGO14" s="129"/>
      <c r="AGP14" s="205" t="s">
        <v>35</v>
      </c>
      <c r="AGQ14" s="205"/>
      <c r="AGR14" s="205"/>
      <c r="AGS14" s="205"/>
      <c r="AGT14" s="104"/>
      <c r="AGU14" s="104"/>
      <c r="AGV14" s="206" t="s">
        <v>25</v>
      </c>
      <c r="AGW14" s="206"/>
      <c r="AGX14" s="206"/>
      <c r="AGY14" s="206"/>
      <c r="AGZ14" s="129"/>
      <c r="AHA14" s="129"/>
      <c r="AHB14" s="205" t="s">
        <v>36</v>
      </c>
      <c r="AHC14" s="205"/>
      <c r="AHD14" s="205"/>
      <c r="AHE14" s="205"/>
      <c r="AHF14" s="104"/>
      <c r="AHG14" s="104"/>
      <c r="AHH14" s="206" t="s">
        <v>26</v>
      </c>
      <c r="AHI14" s="206"/>
      <c r="AHJ14" s="206"/>
      <c r="AHK14" s="206"/>
      <c r="AHL14" s="129"/>
      <c r="AHM14" s="129"/>
      <c r="AHN14" s="205" t="s">
        <v>37</v>
      </c>
      <c r="AHO14" s="205"/>
      <c r="AHP14" s="205"/>
      <c r="AHQ14" s="205"/>
      <c r="AHR14" s="104"/>
      <c r="AHS14" s="104"/>
      <c r="AHT14" s="104"/>
      <c r="AHU14" s="105"/>
      <c r="AHV14" s="103"/>
      <c r="AHW14" s="104"/>
      <c r="AHX14" s="104"/>
      <c r="AHY14" s="104"/>
      <c r="AHZ14" s="205" t="s">
        <v>33</v>
      </c>
      <c r="AIA14" s="205"/>
      <c r="AIB14" s="205"/>
      <c r="AIC14" s="205"/>
      <c r="AID14" s="104"/>
      <c r="AIE14" s="104"/>
      <c r="AIF14" s="206" t="s">
        <v>23</v>
      </c>
      <c r="AIG14" s="206"/>
      <c r="AIH14" s="206"/>
      <c r="AII14" s="206"/>
      <c r="AIJ14" s="129"/>
      <c r="AIK14" s="129"/>
      <c r="AIL14" s="205" t="s">
        <v>34</v>
      </c>
      <c r="AIM14" s="205"/>
      <c r="AIN14" s="205"/>
      <c r="AIO14" s="205"/>
      <c r="AIP14" s="104"/>
      <c r="AIQ14" s="104"/>
      <c r="AIR14" s="206" t="s">
        <v>24</v>
      </c>
      <c r="AIS14" s="206"/>
      <c r="AIT14" s="206"/>
      <c r="AIU14" s="206"/>
      <c r="AIV14" s="129"/>
      <c r="AIW14" s="129"/>
      <c r="AIX14" s="205" t="s">
        <v>35</v>
      </c>
      <c r="AIY14" s="205"/>
      <c r="AIZ14" s="205"/>
      <c r="AJA14" s="205"/>
      <c r="AJB14" s="104"/>
      <c r="AJC14" s="104"/>
      <c r="AJD14" s="206" t="s">
        <v>25</v>
      </c>
      <c r="AJE14" s="206"/>
      <c r="AJF14" s="206"/>
      <c r="AJG14" s="206"/>
      <c r="AJH14" s="129"/>
      <c r="AJI14" s="129"/>
      <c r="AJJ14" s="205" t="s">
        <v>36</v>
      </c>
      <c r="AJK14" s="205"/>
      <c r="AJL14" s="205"/>
      <c r="AJM14" s="205"/>
      <c r="AJN14" s="104"/>
      <c r="AJO14" s="104"/>
      <c r="AJP14" s="206" t="s">
        <v>26</v>
      </c>
      <c r="AJQ14" s="206"/>
      <c r="AJR14" s="206"/>
      <c r="AJS14" s="206"/>
      <c r="AJT14" s="129"/>
      <c r="AJU14" s="129"/>
      <c r="AJV14" s="205" t="s">
        <v>37</v>
      </c>
      <c r="AJW14" s="205"/>
      <c r="AJX14" s="205"/>
      <c r="AJY14" s="205"/>
      <c r="AJZ14" s="104"/>
      <c r="AKA14" s="104"/>
      <c r="AKB14" s="104"/>
      <c r="AKC14" s="105"/>
      <c r="AKD14" s="103"/>
      <c r="AKE14" s="104"/>
      <c r="AKF14" s="104"/>
      <c r="AKG14" s="104"/>
      <c r="AKH14" s="205" t="s">
        <v>33</v>
      </c>
      <c r="AKI14" s="205"/>
      <c r="AKJ14" s="205"/>
      <c r="AKK14" s="205"/>
      <c r="AKL14" s="104"/>
      <c r="AKM14" s="104"/>
      <c r="AKN14" s="206" t="s">
        <v>23</v>
      </c>
      <c r="AKO14" s="206"/>
      <c r="AKP14" s="206"/>
      <c r="AKQ14" s="206"/>
      <c r="AKR14" s="129"/>
      <c r="AKS14" s="129"/>
      <c r="AKT14" s="205" t="s">
        <v>34</v>
      </c>
      <c r="AKU14" s="205"/>
      <c r="AKV14" s="205"/>
      <c r="AKW14" s="205"/>
      <c r="AKX14" s="104"/>
      <c r="AKY14" s="104"/>
      <c r="AKZ14" s="206" t="s">
        <v>24</v>
      </c>
      <c r="ALA14" s="206"/>
      <c r="ALB14" s="206"/>
      <c r="ALC14" s="206"/>
      <c r="ALD14" s="129"/>
      <c r="ALE14" s="129"/>
      <c r="ALF14" s="205" t="s">
        <v>35</v>
      </c>
      <c r="ALG14" s="205"/>
      <c r="ALH14" s="205"/>
      <c r="ALI14" s="205"/>
      <c r="ALJ14" s="104"/>
      <c r="ALK14" s="104"/>
      <c r="ALL14" s="206" t="s">
        <v>25</v>
      </c>
      <c r="ALM14" s="206"/>
      <c r="ALN14" s="206"/>
      <c r="ALO14" s="206"/>
      <c r="ALP14" s="129"/>
      <c r="ALQ14" s="129"/>
      <c r="ALR14" s="205" t="s">
        <v>36</v>
      </c>
      <c r="ALS14" s="205"/>
      <c r="ALT14" s="205"/>
      <c r="ALU14" s="205"/>
      <c r="ALV14" s="104"/>
      <c r="ALW14" s="104"/>
      <c r="ALX14" s="206" t="s">
        <v>26</v>
      </c>
      <c r="ALY14" s="206"/>
      <c r="ALZ14" s="206"/>
      <c r="AMA14" s="206"/>
      <c r="AMB14" s="129"/>
      <c r="AMC14" s="129"/>
      <c r="AMD14" s="205" t="s">
        <v>37</v>
      </c>
      <c r="AME14" s="205"/>
      <c r="AMF14" s="205"/>
      <c r="AMG14" s="205"/>
      <c r="AMH14" s="104"/>
      <c r="AMI14" s="104"/>
      <c r="AMJ14" s="104"/>
      <c r="AMK14" s="105"/>
      <c r="AML14" s="103"/>
      <c r="AMM14" s="104"/>
      <c r="AMN14" s="104"/>
      <c r="AMO14" s="104"/>
      <c r="AMP14" s="205" t="s">
        <v>33</v>
      </c>
      <c r="AMQ14" s="205"/>
      <c r="AMR14" s="205"/>
      <c r="AMS14" s="205"/>
      <c r="AMT14" s="104"/>
      <c r="AMU14" s="104"/>
      <c r="AMV14" s="206" t="s">
        <v>23</v>
      </c>
      <c r="AMW14" s="206"/>
      <c r="AMX14" s="206"/>
      <c r="AMY14" s="206"/>
      <c r="AMZ14" s="129"/>
      <c r="ANA14" s="129"/>
      <c r="ANB14" s="205" t="s">
        <v>34</v>
      </c>
      <c r="ANC14" s="205"/>
      <c r="AND14" s="205"/>
      <c r="ANE14" s="205"/>
      <c r="ANF14" s="104"/>
      <c r="ANG14" s="104"/>
      <c r="ANH14" s="206" t="s">
        <v>24</v>
      </c>
      <c r="ANI14" s="206"/>
      <c r="ANJ14" s="206"/>
      <c r="ANK14" s="206"/>
      <c r="ANL14" s="129"/>
      <c r="ANM14" s="129"/>
      <c r="ANN14" s="205" t="s">
        <v>35</v>
      </c>
      <c r="ANO14" s="205"/>
      <c r="ANP14" s="205"/>
      <c r="ANQ14" s="205"/>
      <c r="ANR14" s="104"/>
      <c r="ANS14" s="104"/>
      <c r="ANT14" s="206" t="s">
        <v>25</v>
      </c>
      <c r="ANU14" s="206"/>
      <c r="ANV14" s="206"/>
      <c r="ANW14" s="206"/>
      <c r="ANX14" s="129"/>
      <c r="ANY14" s="129"/>
      <c r="ANZ14" s="205" t="s">
        <v>36</v>
      </c>
      <c r="AOA14" s="205"/>
      <c r="AOB14" s="205"/>
      <c r="AOC14" s="205"/>
      <c r="AOD14" s="104"/>
      <c r="AOE14" s="104"/>
      <c r="AOF14" s="206" t="s">
        <v>26</v>
      </c>
      <c r="AOG14" s="206"/>
      <c r="AOH14" s="206"/>
      <c r="AOI14" s="206"/>
      <c r="AOJ14" s="129"/>
      <c r="AOK14" s="129"/>
      <c r="AOL14" s="205" t="s">
        <v>37</v>
      </c>
      <c r="AOM14" s="205"/>
      <c r="AON14" s="205"/>
      <c r="AOO14" s="205"/>
      <c r="AOP14" s="104"/>
      <c r="AOQ14" s="104"/>
      <c r="AOR14" s="104"/>
      <c r="AOS14" s="105"/>
      <c r="AOT14" s="103"/>
      <c r="AOU14" s="104"/>
      <c r="AOV14" s="104"/>
      <c r="AOW14" s="104"/>
      <c r="AOX14" s="205" t="s">
        <v>33</v>
      </c>
      <c r="AOY14" s="205"/>
      <c r="AOZ14" s="205"/>
      <c r="APA14" s="205"/>
      <c r="APB14" s="104"/>
      <c r="APC14" s="104"/>
      <c r="APD14" s="206" t="s">
        <v>23</v>
      </c>
      <c r="APE14" s="206"/>
      <c r="APF14" s="206"/>
      <c r="APG14" s="206"/>
      <c r="APH14" s="129"/>
      <c r="API14" s="129"/>
      <c r="APJ14" s="205" t="s">
        <v>34</v>
      </c>
      <c r="APK14" s="205"/>
      <c r="APL14" s="205"/>
      <c r="APM14" s="205"/>
      <c r="APN14" s="104"/>
      <c r="APO14" s="104"/>
      <c r="APP14" s="206" t="s">
        <v>24</v>
      </c>
      <c r="APQ14" s="206"/>
      <c r="APR14" s="206"/>
      <c r="APS14" s="206"/>
      <c r="APT14" s="129"/>
      <c r="APU14" s="129"/>
      <c r="APV14" s="205" t="s">
        <v>35</v>
      </c>
      <c r="APW14" s="205"/>
      <c r="APX14" s="205"/>
      <c r="APY14" s="205"/>
      <c r="APZ14" s="104"/>
      <c r="AQA14" s="104"/>
      <c r="AQB14" s="206" t="s">
        <v>25</v>
      </c>
      <c r="AQC14" s="206"/>
      <c r="AQD14" s="206"/>
      <c r="AQE14" s="206"/>
      <c r="AQF14" s="129"/>
      <c r="AQG14" s="129"/>
      <c r="AQH14" s="205" t="s">
        <v>36</v>
      </c>
      <c r="AQI14" s="205"/>
      <c r="AQJ14" s="205"/>
      <c r="AQK14" s="205"/>
      <c r="AQL14" s="104"/>
      <c r="AQM14" s="104"/>
      <c r="AQN14" s="206" t="s">
        <v>26</v>
      </c>
      <c r="AQO14" s="206"/>
      <c r="AQP14" s="206"/>
      <c r="AQQ14" s="206"/>
      <c r="AQR14" s="129"/>
      <c r="AQS14" s="129"/>
      <c r="AQT14" s="205" t="s">
        <v>37</v>
      </c>
      <c r="AQU14" s="205"/>
      <c r="AQV14" s="205"/>
      <c r="AQW14" s="205"/>
      <c r="AQX14" s="104"/>
      <c r="AQY14" s="104"/>
      <c r="AQZ14" s="104"/>
      <c r="ARA14" s="105"/>
      <c r="ARB14" s="103"/>
      <c r="ARC14" s="104"/>
      <c r="ARD14" s="104"/>
      <c r="ARE14" s="104"/>
      <c r="ARF14" s="205" t="s">
        <v>33</v>
      </c>
      <c r="ARG14" s="205"/>
      <c r="ARH14" s="205"/>
      <c r="ARI14" s="205"/>
      <c r="ARJ14" s="104"/>
      <c r="ARK14" s="104"/>
      <c r="ARL14" s="206" t="s">
        <v>23</v>
      </c>
      <c r="ARM14" s="206"/>
      <c r="ARN14" s="206"/>
      <c r="ARO14" s="206"/>
      <c r="ARP14" s="129"/>
      <c r="ARQ14" s="129"/>
      <c r="ARR14" s="205" t="s">
        <v>34</v>
      </c>
      <c r="ARS14" s="205"/>
      <c r="ART14" s="205"/>
      <c r="ARU14" s="205"/>
      <c r="ARV14" s="104"/>
      <c r="ARW14" s="104"/>
      <c r="ARX14" s="206" t="s">
        <v>24</v>
      </c>
      <c r="ARY14" s="206"/>
      <c r="ARZ14" s="206"/>
      <c r="ASA14" s="206"/>
      <c r="ASB14" s="129"/>
      <c r="ASC14" s="129"/>
      <c r="ASD14" s="205" t="s">
        <v>35</v>
      </c>
      <c r="ASE14" s="205"/>
      <c r="ASF14" s="205"/>
      <c r="ASG14" s="205"/>
      <c r="ASH14" s="104"/>
      <c r="ASI14" s="104"/>
      <c r="ASJ14" s="206" t="s">
        <v>25</v>
      </c>
      <c r="ASK14" s="206"/>
      <c r="ASL14" s="206"/>
      <c r="ASM14" s="206"/>
      <c r="ASN14" s="129"/>
      <c r="ASO14" s="129"/>
      <c r="ASP14" s="205" t="s">
        <v>36</v>
      </c>
      <c r="ASQ14" s="205"/>
      <c r="ASR14" s="205"/>
      <c r="ASS14" s="205"/>
      <c r="AST14" s="104"/>
      <c r="ASU14" s="104"/>
      <c r="ASV14" s="206" t="s">
        <v>26</v>
      </c>
      <c r="ASW14" s="206"/>
      <c r="ASX14" s="206"/>
      <c r="ASY14" s="206"/>
      <c r="ASZ14" s="129"/>
      <c r="ATA14" s="129"/>
      <c r="ATB14" s="205" t="s">
        <v>37</v>
      </c>
      <c r="ATC14" s="205"/>
      <c r="ATD14" s="205"/>
      <c r="ATE14" s="205"/>
      <c r="ATF14" s="104"/>
      <c r="ATG14" s="104"/>
      <c r="ATH14" s="104"/>
      <c r="ATI14" s="105"/>
      <c r="ATJ14" s="103"/>
      <c r="ATK14" s="104"/>
      <c r="ATL14" s="104"/>
      <c r="ATM14" s="104"/>
      <c r="ATN14" s="205" t="s">
        <v>33</v>
      </c>
      <c r="ATO14" s="205"/>
      <c r="ATP14" s="205"/>
      <c r="ATQ14" s="205"/>
      <c r="ATR14" s="104"/>
      <c r="ATS14" s="104"/>
      <c r="ATT14" s="206" t="s">
        <v>23</v>
      </c>
      <c r="ATU14" s="206"/>
      <c r="ATV14" s="206"/>
      <c r="ATW14" s="206"/>
      <c r="ATX14" s="129"/>
      <c r="ATY14" s="129"/>
      <c r="ATZ14" s="205" t="s">
        <v>34</v>
      </c>
      <c r="AUA14" s="205"/>
      <c r="AUB14" s="205"/>
      <c r="AUC14" s="205"/>
      <c r="AUD14" s="104"/>
      <c r="AUE14" s="104"/>
      <c r="AUF14" s="206" t="s">
        <v>24</v>
      </c>
      <c r="AUG14" s="206"/>
      <c r="AUH14" s="206"/>
      <c r="AUI14" s="206"/>
      <c r="AUJ14" s="129"/>
      <c r="AUK14" s="129"/>
      <c r="AUL14" s="205" t="s">
        <v>35</v>
      </c>
      <c r="AUM14" s="205"/>
      <c r="AUN14" s="205"/>
      <c r="AUO14" s="205"/>
      <c r="AUP14" s="104"/>
      <c r="AUQ14" s="104"/>
      <c r="AUR14" s="206" t="s">
        <v>25</v>
      </c>
      <c r="AUS14" s="206"/>
      <c r="AUT14" s="206"/>
      <c r="AUU14" s="206"/>
      <c r="AUV14" s="129"/>
      <c r="AUW14" s="129"/>
      <c r="AUX14" s="205" t="s">
        <v>36</v>
      </c>
      <c r="AUY14" s="205"/>
      <c r="AUZ14" s="205"/>
      <c r="AVA14" s="205"/>
      <c r="AVB14" s="104"/>
      <c r="AVC14" s="104"/>
      <c r="AVD14" s="206" t="s">
        <v>26</v>
      </c>
      <c r="AVE14" s="206"/>
      <c r="AVF14" s="206"/>
      <c r="AVG14" s="206"/>
      <c r="AVH14" s="129"/>
      <c r="AVI14" s="129"/>
      <c r="AVJ14" s="205" t="s">
        <v>37</v>
      </c>
      <c r="AVK14" s="205"/>
      <c r="AVL14" s="205"/>
      <c r="AVM14" s="205"/>
      <c r="AVN14" s="104"/>
      <c r="AVO14" s="104"/>
      <c r="AVP14" s="104"/>
      <c r="AVQ14" s="105"/>
      <c r="AVR14" s="103"/>
      <c r="AVS14" s="104"/>
      <c r="AVT14" s="104"/>
      <c r="AVU14" s="104"/>
      <c r="AVV14" s="205" t="s">
        <v>33</v>
      </c>
      <c r="AVW14" s="205"/>
      <c r="AVX14" s="205"/>
      <c r="AVY14" s="205"/>
      <c r="AVZ14" s="104"/>
      <c r="AWA14" s="104"/>
      <c r="AWB14" s="206" t="s">
        <v>23</v>
      </c>
      <c r="AWC14" s="206"/>
      <c r="AWD14" s="206"/>
      <c r="AWE14" s="206"/>
      <c r="AWF14" s="129"/>
      <c r="AWG14" s="129"/>
      <c r="AWH14" s="205" t="s">
        <v>34</v>
      </c>
      <c r="AWI14" s="205"/>
      <c r="AWJ14" s="205"/>
      <c r="AWK14" s="205"/>
      <c r="AWL14" s="104"/>
      <c r="AWM14" s="104"/>
      <c r="AWN14" s="206" t="s">
        <v>24</v>
      </c>
      <c r="AWO14" s="206"/>
      <c r="AWP14" s="206"/>
      <c r="AWQ14" s="206"/>
      <c r="AWR14" s="129"/>
      <c r="AWS14" s="129"/>
      <c r="AWT14" s="205" t="s">
        <v>35</v>
      </c>
      <c r="AWU14" s="205"/>
      <c r="AWV14" s="205"/>
      <c r="AWW14" s="205"/>
      <c r="AWX14" s="104"/>
      <c r="AWY14" s="104"/>
      <c r="AWZ14" s="206" t="s">
        <v>25</v>
      </c>
      <c r="AXA14" s="206"/>
      <c r="AXB14" s="206"/>
      <c r="AXC14" s="206"/>
      <c r="AXD14" s="129"/>
      <c r="AXE14" s="129"/>
      <c r="AXF14" s="205" t="s">
        <v>36</v>
      </c>
      <c r="AXG14" s="205"/>
      <c r="AXH14" s="205"/>
      <c r="AXI14" s="205"/>
      <c r="AXJ14" s="104"/>
      <c r="AXK14" s="104"/>
      <c r="AXL14" s="206" t="s">
        <v>26</v>
      </c>
      <c r="AXM14" s="206"/>
      <c r="AXN14" s="206"/>
      <c r="AXO14" s="206"/>
      <c r="AXP14" s="129"/>
      <c r="AXQ14" s="129"/>
      <c r="AXR14" s="205" t="s">
        <v>37</v>
      </c>
      <c r="AXS14" s="205"/>
      <c r="AXT14" s="205"/>
      <c r="AXU14" s="205"/>
      <c r="AXV14" s="104"/>
      <c r="AXW14" s="104"/>
      <c r="AXX14" s="104"/>
      <c r="AXY14" s="105"/>
      <c r="AXZ14" s="103"/>
      <c r="AYA14" s="104"/>
      <c r="AYB14" s="104"/>
      <c r="AYC14" s="104"/>
      <c r="AYD14" s="205" t="s">
        <v>33</v>
      </c>
      <c r="AYE14" s="205"/>
      <c r="AYF14" s="205"/>
      <c r="AYG14" s="205"/>
      <c r="AYH14" s="104"/>
      <c r="AYI14" s="104"/>
      <c r="AYJ14" s="206" t="s">
        <v>23</v>
      </c>
      <c r="AYK14" s="206"/>
      <c r="AYL14" s="206"/>
      <c r="AYM14" s="206"/>
      <c r="AYN14" s="129"/>
      <c r="AYO14" s="129"/>
      <c r="AYP14" s="205" t="s">
        <v>34</v>
      </c>
      <c r="AYQ14" s="205"/>
      <c r="AYR14" s="205"/>
      <c r="AYS14" s="205"/>
      <c r="AYT14" s="104"/>
      <c r="AYU14" s="104"/>
      <c r="AYV14" s="206" t="s">
        <v>24</v>
      </c>
      <c r="AYW14" s="206"/>
      <c r="AYX14" s="206"/>
      <c r="AYY14" s="206"/>
      <c r="AYZ14" s="129"/>
      <c r="AZA14" s="129"/>
      <c r="AZB14" s="205" t="s">
        <v>35</v>
      </c>
      <c r="AZC14" s="205"/>
      <c r="AZD14" s="205"/>
      <c r="AZE14" s="205"/>
      <c r="AZF14" s="104"/>
      <c r="AZG14" s="104"/>
      <c r="AZH14" s="206" t="s">
        <v>25</v>
      </c>
      <c r="AZI14" s="206"/>
      <c r="AZJ14" s="206"/>
      <c r="AZK14" s="206"/>
      <c r="AZL14" s="129"/>
      <c r="AZM14" s="129"/>
      <c r="AZN14" s="205" t="s">
        <v>36</v>
      </c>
      <c r="AZO14" s="205"/>
      <c r="AZP14" s="205"/>
      <c r="AZQ14" s="205"/>
      <c r="AZR14" s="104"/>
      <c r="AZS14" s="104"/>
      <c r="AZT14" s="206" t="s">
        <v>26</v>
      </c>
      <c r="AZU14" s="206"/>
      <c r="AZV14" s="206"/>
      <c r="AZW14" s="206"/>
      <c r="AZX14" s="129"/>
      <c r="AZY14" s="129"/>
      <c r="AZZ14" s="205" t="s">
        <v>37</v>
      </c>
      <c r="BAA14" s="205"/>
      <c r="BAB14" s="205"/>
      <c r="BAC14" s="205"/>
      <c r="BAD14" s="104"/>
      <c r="BAE14" s="104"/>
      <c r="BAF14" s="104"/>
      <c r="BAG14" s="105"/>
      <c r="BAH14" s="103"/>
      <c r="BAI14" s="104"/>
      <c r="BAJ14" s="104"/>
      <c r="BAK14" s="104"/>
      <c r="BAL14" s="205" t="s">
        <v>33</v>
      </c>
      <c r="BAM14" s="205"/>
      <c r="BAN14" s="205"/>
      <c r="BAO14" s="205"/>
      <c r="BAP14" s="104"/>
      <c r="BAQ14" s="104"/>
      <c r="BAR14" s="206" t="s">
        <v>23</v>
      </c>
      <c r="BAS14" s="206"/>
      <c r="BAT14" s="206"/>
      <c r="BAU14" s="206"/>
      <c r="BAV14" s="129"/>
      <c r="BAW14" s="129"/>
      <c r="BAX14" s="205" t="s">
        <v>34</v>
      </c>
      <c r="BAY14" s="205"/>
      <c r="BAZ14" s="205"/>
      <c r="BBA14" s="205"/>
      <c r="BBB14" s="104"/>
      <c r="BBC14" s="104"/>
      <c r="BBD14" s="206" t="s">
        <v>24</v>
      </c>
      <c r="BBE14" s="206"/>
      <c r="BBF14" s="206"/>
      <c r="BBG14" s="206"/>
      <c r="BBH14" s="129"/>
      <c r="BBI14" s="129"/>
      <c r="BBJ14" s="205" t="s">
        <v>35</v>
      </c>
      <c r="BBK14" s="205"/>
      <c r="BBL14" s="205"/>
      <c r="BBM14" s="205"/>
      <c r="BBN14" s="104"/>
      <c r="BBO14" s="104"/>
      <c r="BBP14" s="206" t="s">
        <v>25</v>
      </c>
      <c r="BBQ14" s="206"/>
      <c r="BBR14" s="206"/>
      <c r="BBS14" s="206"/>
      <c r="BBT14" s="129"/>
      <c r="BBU14" s="129"/>
      <c r="BBV14" s="205" t="s">
        <v>36</v>
      </c>
      <c r="BBW14" s="205"/>
      <c r="BBX14" s="205"/>
      <c r="BBY14" s="205"/>
      <c r="BBZ14" s="104"/>
      <c r="BCA14" s="104"/>
      <c r="BCB14" s="206" t="s">
        <v>26</v>
      </c>
      <c r="BCC14" s="206"/>
      <c r="BCD14" s="206"/>
      <c r="BCE14" s="206"/>
      <c r="BCF14" s="129"/>
      <c r="BCG14" s="129"/>
      <c r="BCH14" s="205" t="s">
        <v>37</v>
      </c>
      <c r="BCI14" s="205"/>
      <c r="BCJ14" s="205"/>
      <c r="BCK14" s="205"/>
      <c r="BCL14" s="104"/>
      <c r="BCM14" s="104"/>
      <c r="BCN14" s="104"/>
      <c r="BCO14" s="105"/>
      <c r="BCP14" s="103"/>
      <c r="BCQ14" s="104"/>
      <c r="BCR14" s="104"/>
      <c r="BCS14" s="104"/>
      <c r="BCT14" s="205" t="s">
        <v>33</v>
      </c>
      <c r="BCU14" s="205"/>
      <c r="BCV14" s="205"/>
      <c r="BCW14" s="205"/>
      <c r="BCX14" s="104"/>
      <c r="BCY14" s="104"/>
      <c r="BCZ14" s="206" t="s">
        <v>23</v>
      </c>
      <c r="BDA14" s="206"/>
      <c r="BDB14" s="206"/>
      <c r="BDC14" s="206"/>
      <c r="BDD14" s="129"/>
      <c r="BDE14" s="129"/>
      <c r="BDF14" s="205" t="s">
        <v>34</v>
      </c>
      <c r="BDG14" s="205"/>
      <c r="BDH14" s="205"/>
      <c r="BDI14" s="205"/>
      <c r="BDJ14" s="104"/>
      <c r="BDK14" s="104"/>
      <c r="BDL14" s="206" t="s">
        <v>24</v>
      </c>
      <c r="BDM14" s="206"/>
      <c r="BDN14" s="206"/>
      <c r="BDO14" s="206"/>
      <c r="BDP14" s="129"/>
      <c r="BDQ14" s="129"/>
      <c r="BDR14" s="205" t="s">
        <v>35</v>
      </c>
      <c r="BDS14" s="205"/>
      <c r="BDT14" s="205"/>
      <c r="BDU14" s="205"/>
      <c r="BDV14" s="104"/>
      <c r="BDW14" s="104"/>
      <c r="BDX14" s="206" t="s">
        <v>25</v>
      </c>
      <c r="BDY14" s="206"/>
      <c r="BDZ14" s="206"/>
      <c r="BEA14" s="206"/>
      <c r="BEB14" s="129"/>
      <c r="BEC14" s="129"/>
      <c r="BED14" s="205" t="s">
        <v>36</v>
      </c>
      <c r="BEE14" s="205"/>
      <c r="BEF14" s="205"/>
      <c r="BEG14" s="205"/>
      <c r="BEH14" s="104"/>
      <c r="BEI14" s="104"/>
      <c r="BEJ14" s="206" t="s">
        <v>26</v>
      </c>
      <c r="BEK14" s="206"/>
      <c r="BEL14" s="206"/>
      <c r="BEM14" s="206"/>
      <c r="BEN14" s="129"/>
      <c r="BEO14" s="129"/>
      <c r="BEP14" s="205" t="s">
        <v>37</v>
      </c>
      <c r="BEQ14" s="205"/>
      <c r="BER14" s="205"/>
      <c r="BES14" s="205"/>
      <c r="BET14" s="104"/>
      <c r="BEU14" s="104"/>
      <c r="BEV14" s="104"/>
      <c r="BEW14" s="105"/>
      <c r="BEX14" s="103"/>
      <c r="BEY14" s="104"/>
      <c r="BEZ14" s="104"/>
      <c r="BFA14" s="104"/>
      <c r="BFB14" s="205" t="s">
        <v>33</v>
      </c>
      <c r="BFC14" s="205"/>
      <c r="BFD14" s="205"/>
      <c r="BFE14" s="205"/>
      <c r="BFF14" s="104"/>
      <c r="BFG14" s="104"/>
      <c r="BFH14" s="206" t="s">
        <v>23</v>
      </c>
      <c r="BFI14" s="206"/>
      <c r="BFJ14" s="206"/>
      <c r="BFK14" s="206"/>
      <c r="BFL14" s="129"/>
      <c r="BFM14" s="129"/>
      <c r="BFN14" s="205" t="s">
        <v>34</v>
      </c>
      <c r="BFO14" s="205"/>
      <c r="BFP14" s="205"/>
      <c r="BFQ14" s="205"/>
      <c r="BFR14" s="104"/>
      <c r="BFS14" s="104"/>
      <c r="BFT14" s="206" t="s">
        <v>24</v>
      </c>
      <c r="BFU14" s="206"/>
      <c r="BFV14" s="206"/>
      <c r="BFW14" s="206"/>
      <c r="BFX14" s="129"/>
      <c r="BFY14" s="129"/>
      <c r="BFZ14" s="205" t="s">
        <v>35</v>
      </c>
      <c r="BGA14" s="205"/>
      <c r="BGB14" s="205"/>
      <c r="BGC14" s="205"/>
      <c r="BGD14" s="104"/>
      <c r="BGE14" s="104"/>
      <c r="BGF14" s="206" t="s">
        <v>25</v>
      </c>
      <c r="BGG14" s="206"/>
      <c r="BGH14" s="206"/>
      <c r="BGI14" s="206"/>
      <c r="BGJ14" s="129"/>
      <c r="BGK14" s="129"/>
      <c r="BGL14" s="205" t="s">
        <v>36</v>
      </c>
      <c r="BGM14" s="205"/>
      <c r="BGN14" s="205"/>
      <c r="BGO14" s="205"/>
      <c r="BGP14" s="104"/>
      <c r="BGQ14" s="104"/>
      <c r="BGR14" s="206" t="s">
        <v>26</v>
      </c>
      <c r="BGS14" s="206"/>
      <c r="BGT14" s="206"/>
      <c r="BGU14" s="206"/>
      <c r="BGV14" s="129"/>
      <c r="BGW14" s="129"/>
      <c r="BGX14" s="205" t="s">
        <v>37</v>
      </c>
      <c r="BGY14" s="205"/>
      <c r="BGZ14" s="205"/>
      <c r="BHA14" s="205"/>
      <c r="BHB14" s="104"/>
      <c r="BHC14" s="104"/>
      <c r="BHD14" s="104"/>
      <c r="BHE14" s="105"/>
      <c r="BHF14" s="103"/>
      <c r="BHG14" s="104"/>
      <c r="BHH14" s="104"/>
      <c r="BHI14" s="104"/>
      <c r="BHJ14" s="205" t="s">
        <v>33</v>
      </c>
      <c r="BHK14" s="205"/>
      <c r="BHL14" s="205"/>
      <c r="BHM14" s="205"/>
      <c r="BHN14" s="104"/>
      <c r="BHO14" s="104"/>
      <c r="BHP14" s="206" t="s">
        <v>23</v>
      </c>
      <c r="BHQ14" s="206"/>
      <c r="BHR14" s="206"/>
      <c r="BHS14" s="206"/>
      <c r="BHT14" s="129"/>
      <c r="BHU14" s="129"/>
      <c r="BHV14" s="205" t="s">
        <v>34</v>
      </c>
      <c r="BHW14" s="205"/>
      <c r="BHX14" s="205"/>
      <c r="BHY14" s="205"/>
      <c r="BHZ14" s="104"/>
      <c r="BIA14" s="104"/>
      <c r="BIB14" s="206" t="s">
        <v>24</v>
      </c>
      <c r="BIC14" s="206"/>
      <c r="BID14" s="206"/>
      <c r="BIE14" s="206"/>
      <c r="BIF14" s="129"/>
      <c r="BIG14" s="129"/>
      <c r="BIH14" s="205" t="s">
        <v>35</v>
      </c>
      <c r="BII14" s="205"/>
      <c r="BIJ14" s="205"/>
      <c r="BIK14" s="205"/>
      <c r="BIL14" s="104"/>
      <c r="BIM14" s="104"/>
      <c r="BIN14" s="206" t="s">
        <v>25</v>
      </c>
      <c r="BIO14" s="206"/>
      <c r="BIP14" s="206"/>
      <c r="BIQ14" s="206"/>
      <c r="BIR14" s="129"/>
      <c r="BIS14" s="129"/>
      <c r="BIT14" s="205" t="s">
        <v>36</v>
      </c>
      <c r="BIU14" s="205"/>
      <c r="BIV14" s="205"/>
      <c r="BIW14" s="205"/>
      <c r="BIX14" s="104"/>
      <c r="BIY14" s="104"/>
      <c r="BIZ14" s="206" t="s">
        <v>26</v>
      </c>
      <c r="BJA14" s="206"/>
      <c r="BJB14" s="206"/>
      <c r="BJC14" s="206"/>
      <c r="BJD14" s="129"/>
      <c r="BJE14" s="129"/>
      <c r="BJF14" s="205" t="s">
        <v>37</v>
      </c>
      <c r="BJG14" s="205"/>
      <c r="BJH14" s="205"/>
      <c r="BJI14" s="205"/>
      <c r="BJJ14" s="104"/>
      <c r="BJK14" s="104"/>
      <c r="BJL14" s="104"/>
      <c r="BJM14" s="105"/>
      <c r="BJN14" s="103"/>
      <c r="BJO14" s="104"/>
      <c r="BJP14" s="104"/>
      <c r="BJQ14" s="104"/>
      <c r="BJR14" s="205" t="s">
        <v>33</v>
      </c>
      <c r="BJS14" s="205"/>
      <c r="BJT14" s="205"/>
      <c r="BJU14" s="205"/>
      <c r="BJV14" s="104"/>
      <c r="BJW14" s="104"/>
      <c r="BJX14" s="206" t="s">
        <v>23</v>
      </c>
      <c r="BJY14" s="206"/>
      <c r="BJZ14" s="206"/>
      <c r="BKA14" s="206"/>
      <c r="BKB14" s="129"/>
      <c r="BKC14" s="129"/>
      <c r="BKD14" s="205" t="s">
        <v>34</v>
      </c>
      <c r="BKE14" s="205"/>
      <c r="BKF14" s="205"/>
      <c r="BKG14" s="205"/>
      <c r="BKH14" s="104"/>
      <c r="BKI14" s="104"/>
      <c r="BKJ14" s="206" t="s">
        <v>24</v>
      </c>
      <c r="BKK14" s="206"/>
      <c r="BKL14" s="206"/>
      <c r="BKM14" s="206"/>
      <c r="BKN14" s="129"/>
      <c r="BKO14" s="129"/>
      <c r="BKP14" s="205" t="s">
        <v>35</v>
      </c>
      <c r="BKQ14" s="205"/>
      <c r="BKR14" s="205"/>
      <c r="BKS14" s="205"/>
      <c r="BKT14" s="104"/>
      <c r="BKU14" s="104"/>
      <c r="BKV14" s="206" t="s">
        <v>25</v>
      </c>
      <c r="BKW14" s="206"/>
      <c r="BKX14" s="206"/>
      <c r="BKY14" s="206"/>
      <c r="BKZ14" s="129"/>
      <c r="BLA14" s="129"/>
      <c r="BLB14" s="205" t="s">
        <v>36</v>
      </c>
      <c r="BLC14" s="205"/>
      <c r="BLD14" s="205"/>
      <c r="BLE14" s="205"/>
      <c r="BLF14" s="104"/>
      <c r="BLG14" s="104"/>
      <c r="BLH14" s="206" t="s">
        <v>26</v>
      </c>
      <c r="BLI14" s="206"/>
      <c r="BLJ14" s="206"/>
      <c r="BLK14" s="206"/>
      <c r="BLL14" s="129"/>
      <c r="BLM14" s="129"/>
      <c r="BLN14" s="205" t="s">
        <v>37</v>
      </c>
      <c r="BLO14" s="205"/>
      <c r="BLP14" s="205"/>
      <c r="BLQ14" s="205"/>
      <c r="BLR14" s="104"/>
      <c r="BLS14" s="104"/>
      <c r="BLT14" s="104"/>
      <c r="BLU14" s="105"/>
    </row>
    <row r="15" spans="1:1744" ht="20.100000000000001" customHeight="1" x14ac:dyDescent="0.25">
      <c r="A15" s="100" t="s">
        <v>19</v>
      </c>
      <c r="B15" s="63" t="str">
        <f>IF(LEN(C15)=0,"",C15)</f>
        <v xml:space="preserve">Absences - imprévus </v>
      </c>
      <c r="C15" s="209"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9"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0"/>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93"/>
      <c r="MD18" s="190"/>
      <c r="ME18" s="190"/>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9"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11"/>
      <c r="D20" s="147" t="str">
        <f t="shared" si="0"/>
        <v>0h5min</v>
      </c>
      <c r="E20" s="27">
        <v>1</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9"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11"/>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9"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11"/>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9"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0"/>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9"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9"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0"/>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9"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11"/>
      <c r="D32" s="148" t="str">
        <f t="shared" si="0"/>
        <v>1h10min</v>
      </c>
      <c r="E32" s="27">
        <v>14</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48"/>
      <c r="GE32" s="249"/>
      <c r="GF32" s="249"/>
      <c r="GG32" s="249"/>
      <c r="GH32" s="195"/>
      <c r="GI32" s="250"/>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9"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9"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11"/>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51"/>
      <c r="HH36" s="249"/>
      <c r="HI36" s="249"/>
      <c r="HJ36" s="249"/>
      <c r="HK36" s="249"/>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248"/>
      <c r="IM36" s="249"/>
      <c r="IN36" s="249"/>
      <c r="IO36" s="249"/>
      <c r="IP36" s="195"/>
      <c r="IQ36" s="250"/>
      <c r="IR36" s="195"/>
      <c r="IS36" s="195"/>
      <c r="IT36" s="195"/>
      <c r="IU36" s="195"/>
      <c r="IV36" s="195"/>
      <c r="IW36" s="196"/>
      <c r="IX36" s="195"/>
      <c r="IY36" s="195"/>
      <c r="IZ36" s="195"/>
      <c r="JA36" s="195"/>
      <c r="JB36" s="195"/>
      <c r="JC36" s="251"/>
      <c r="JD36" s="195"/>
      <c r="JE36" s="195"/>
      <c r="JF36" s="195"/>
      <c r="JG36" s="195"/>
      <c r="JH36" s="195"/>
      <c r="JI36" s="196"/>
      <c r="JJ36" s="195"/>
      <c r="JK36" s="195"/>
      <c r="JL36" s="195"/>
      <c r="JM36" s="195"/>
      <c r="JN36" s="195"/>
      <c r="JO36" s="251"/>
      <c r="JP36" s="249"/>
      <c r="JQ36" s="249"/>
      <c r="JR36" s="249"/>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48"/>
      <c r="KU36" s="249"/>
      <c r="KV36" s="249"/>
      <c r="KW36" s="249"/>
      <c r="KX36" s="195"/>
      <c r="KY36" s="250"/>
      <c r="KZ36" s="195"/>
      <c r="LA36" s="195"/>
      <c r="LB36" s="195"/>
      <c r="LC36" s="195"/>
      <c r="LD36" s="195"/>
      <c r="LE36" s="196"/>
      <c r="LF36" s="195"/>
      <c r="LG36" s="195"/>
      <c r="LH36" s="195"/>
      <c r="LI36" s="195"/>
      <c r="LJ36" s="195"/>
      <c r="LK36" s="251"/>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9"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9"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11"/>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9"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1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9"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0"/>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190"/>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9"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11"/>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9"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11"/>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9"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9"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1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9"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9"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1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9"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9"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9"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1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9"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9"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9"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1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9"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9"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1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9"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9"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9"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1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1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1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27" t="s">
        <v>9</v>
      </c>
      <c r="D95" s="228"/>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29"/>
      <c r="D96" s="230"/>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3" t="s">
        <v>10</v>
      </c>
      <c r="D97" s="224"/>
      <c r="E97" s="118">
        <f>SUM(E16,E18,E20,E22,E24,E26,E28,E30,E32,E34,E36,E38,E40,E42,E44,E46,E48,E50,E52,E54,E56,E58,E60,E62,E64,E66,E68,E70,E72,E74,E76,E78,E80,E82,E84,E86,E88,E90,E92,E94)</f>
        <v>209</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5"/>
      <c r="D98" s="226"/>
      <c r="E98" s="122" t="str">
        <f xml:space="preserve"> setValueToTime(E97)</f>
        <v>17h25min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14" activePane="bottomLeft" state="frozen"/>
      <selection activeCell="BC13" sqref="BC13"/>
      <selection pane="bottomLeft" activeCell="A138" sqref="A13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1" t="s">
        <v>15</v>
      </c>
      <c r="F3" s="232"/>
      <c r="G3" s="46"/>
    </row>
    <row r="4" spans="1:7" s="52" customFormat="1" ht="27.75" thickBot="1" x14ac:dyDescent="0.35">
      <c r="A4" s="192" t="s">
        <v>121</v>
      </c>
      <c r="B4" s="54">
        <v>12</v>
      </c>
      <c r="C4" s="152" t="str">
        <f xml:space="preserve"> IF(B4="","",setValueToTime(B4))</f>
        <v>1h</v>
      </c>
      <c r="D4" s="165" t="s">
        <v>133</v>
      </c>
      <c r="E4" s="233"/>
      <c r="F4" s="234"/>
      <c r="G4" s="51"/>
    </row>
    <row r="5" spans="1:7" s="52" customFormat="1" ht="15" thickBot="1" x14ac:dyDescent="0.35">
      <c r="A5" s="111" t="s">
        <v>28</v>
      </c>
      <c r="B5" s="84">
        <f>SUM(B4:B4)</f>
        <v>12</v>
      </c>
      <c r="C5" s="111" t="str">
        <f xml:space="preserve"> setValueToTime(B5)</f>
        <v>1h</v>
      </c>
      <c r="D5" s="120"/>
      <c r="E5" s="235"/>
      <c r="F5" s="236"/>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1" t="s">
        <v>15</v>
      </c>
      <c r="F8" s="232"/>
      <c r="G8" s="46"/>
    </row>
    <row r="9" spans="1:7" s="52" customFormat="1" ht="27" x14ac:dyDescent="0.3">
      <c r="A9" s="48" t="s">
        <v>94</v>
      </c>
      <c r="B9" s="49">
        <v>37</v>
      </c>
      <c r="C9" s="152" t="str">
        <f xml:space="preserve"> IF(B9="","",setValueToTime(B9))</f>
        <v>3h5min</v>
      </c>
      <c r="D9" s="165" t="s">
        <v>160</v>
      </c>
      <c r="E9" s="233"/>
      <c r="F9" s="234"/>
      <c r="G9" s="51"/>
    </row>
    <row r="10" spans="1:7" s="52" customFormat="1" ht="15" thickBot="1" x14ac:dyDescent="0.35">
      <c r="A10" s="53" t="s">
        <v>93</v>
      </c>
      <c r="B10" s="54">
        <v>1</v>
      </c>
      <c r="C10" s="155" t="str">
        <f t="shared" ref="C10" si="0" xml:space="preserve"> IF(B10="","",setValueToTime(B10))</f>
        <v>0h5min</v>
      </c>
      <c r="D10" s="166" t="s">
        <v>118</v>
      </c>
      <c r="E10" s="237"/>
      <c r="F10" s="238"/>
      <c r="G10" s="51"/>
    </row>
    <row r="11" spans="1:7" s="52" customFormat="1" ht="15" thickBot="1" x14ac:dyDescent="0.35">
      <c r="A11" s="111" t="s">
        <v>28</v>
      </c>
      <c r="B11" s="84">
        <f>SUM(B9:B10)</f>
        <v>38</v>
      </c>
      <c r="C11" s="111" t="str">
        <f xml:space="preserve"> setValueToTime(B11)</f>
        <v>3h10min</v>
      </c>
      <c r="D11" s="120"/>
      <c r="E11" s="235"/>
      <c r="F11" s="236"/>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1" t="s">
        <v>15</v>
      </c>
      <c r="F14" s="232"/>
      <c r="G14" s="46"/>
    </row>
    <row r="15" spans="1:7" s="52" customFormat="1" x14ac:dyDescent="0.3">
      <c r="A15" s="48" t="s">
        <v>115</v>
      </c>
      <c r="B15" s="49">
        <v>47</v>
      </c>
      <c r="C15" s="152" t="str">
        <f xml:space="preserve"> IF(B15="","",setValueToTime(B15))</f>
        <v>3h55min</v>
      </c>
      <c r="D15" s="165" t="s">
        <v>154</v>
      </c>
      <c r="E15" s="233"/>
      <c r="F15" s="234"/>
      <c r="G15" s="51"/>
    </row>
    <row r="16" spans="1:7" s="52" customFormat="1" ht="15" thickBot="1" x14ac:dyDescent="0.35">
      <c r="A16" s="53" t="s">
        <v>93</v>
      </c>
      <c r="B16" s="54">
        <v>1</v>
      </c>
      <c r="C16" s="155" t="str">
        <f t="shared" ref="C16" si="1" xml:space="preserve"> IF(B16="","",setValueToTime(B16))</f>
        <v>0h5min</v>
      </c>
      <c r="D16" s="166" t="s">
        <v>118</v>
      </c>
      <c r="E16" s="237"/>
      <c r="F16" s="238"/>
      <c r="G16" s="51"/>
    </row>
    <row r="17" spans="1:7" s="52" customFormat="1" ht="15" thickBot="1" x14ac:dyDescent="0.35">
      <c r="A17" s="111" t="s">
        <v>28</v>
      </c>
      <c r="B17" s="84">
        <f>SUM(B15:B16)</f>
        <v>48</v>
      </c>
      <c r="C17" s="111" t="str">
        <f xml:space="preserve"> setValueToTime(B17)</f>
        <v>4h</v>
      </c>
      <c r="D17" s="120"/>
      <c r="E17" s="235"/>
      <c r="F17" s="236"/>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1" t="s">
        <v>15</v>
      </c>
      <c r="F20" s="232"/>
      <c r="G20" s="46"/>
    </row>
    <row r="21" spans="1:7" s="52" customFormat="1" ht="27" x14ac:dyDescent="0.3">
      <c r="A21" s="48" t="s">
        <v>149</v>
      </c>
      <c r="B21" s="49">
        <v>37</v>
      </c>
      <c r="C21" s="152" t="str">
        <f xml:space="preserve"> IF(B21="","",setValueToTime(B21))</f>
        <v>3h5min</v>
      </c>
      <c r="D21" s="165" t="s">
        <v>152</v>
      </c>
      <c r="E21" s="233"/>
      <c r="F21" s="234"/>
      <c r="G21" s="51"/>
    </row>
    <row r="22" spans="1:7" s="52" customFormat="1" ht="15" thickBot="1" x14ac:dyDescent="0.35">
      <c r="A22" s="53" t="s">
        <v>93</v>
      </c>
      <c r="B22" s="54">
        <v>1</v>
      </c>
      <c r="C22" s="155" t="str">
        <f t="shared" ref="C22" si="2" xml:space="preserve"> IF(B22="","",setValueToTime(B22))</f>
        <v>0h5min</v>
      </c>
      <c r="D22" s="166" t="s">
        <v>118</v>
      </c>
      <c r="E22" s="237"/>
      <c r="F22" s="238"/>
      <c r="G22" s="51"/>
    </row>
    <row r="23" spans="1:7" s="52" customFormat="1" ht="15" thickBot="1" x14ac:dyDescent="0.35">
      <c r="A23" s="111" t="s">
        <v>28</v>
      </c>
      <c r="B23" s="84">
        <f>SUM(B21:B22)</f>
        <v>38</v>
      </c>
      <c r="C23" s="111" t="str">
        <f xml:space="preserve"> setValueToTime(B23)</f>
        <v>3h10min</v>
      </c>
      <c r="D23" s="120"/>
      <c r="E23" s="235"/>
      <c r="F23" s="236"/>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1" t="s">
        <v>15</v>
      </c>
      <c r="F26" s="232"/>
      <c r="G26" s="46"/>
    </row>
    <row r="27" spans="1:7" s="52" customFormat="1" x14ac:dyDescent="0.3">
      <c r="A27" s="53" t="s">
        <v>98</v>
      </c>
      <c r="B27" s="49">
        <v>47</v>
      </c>
      <c r="C27" s="152" t="str">
        <f xml:space="preserve"> IF(B27="","",setValueToTime(B27))</f>
        <v>3h55min</v>
      </c>
      <c r="D27" s="55" t="s">
        <v>153</v>
      </c>
      <c r="E27" s="233"/>
      <c r="F27" s="234"/>
      <c r="G27" s="51"/>
    </row>
    <row r="28" spans="1:7" s="52" customFormat="1" ht="15" thickBot="1" x14ac:dyDescent="0.35">
      <c r="A28" s="53" t="s">
        <v>93</v>
      </c>
      <c r="B28" s="54">
        <v>1</v>
      </c>
      <c r="C28" s="155" t="str">
        <f t="shared" ref="C28" si="3" xml:space="preserve"> IF(B28="","",setValueToTime(B28))</f>
        <v>0h5min</v>
      </c>
      <c r="D28" s="166" t="s">
        <v>118</v>
      </c>
      <c r="E28" s="237"/>
      <c r="F28" s="238"/>
      <c r="G28" s="51"/>
    </row>
    <row r="29" spans="1:7" s="52" customFormat="1" ht="15" thickBot="1" x14ac:dyDescent="0.35">
      <c r="A29" s="111" t="s">
        <v>28</v>
      </c>
      <c r="B29" s="84">
        <f>SUM(B27:B28)</f>
        <v>48</v>
      </c>
      <c r="C29" s="111" t="str">
        <f xml:space="preserve"> setValueToTime(B29)</f>
        <v>4h</v>
      </c>
      <c r="D29" s="120"/>
      <c r="E29" s="235"/>
      <c r="F29" s="236"/>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1" t="s">
        <v>15</v>
      </c>
      <c r="F32" s="232"/>
      <c r="G32" s="46"/>
    </row>
    <row r="33" spans="1:7" s="52" customFormat="1" ht="40.5" x14ac:dyDescent="0.3">
      <c r="A33" s="48" t="s">
        <v>106</v>
      </c>
      <c r="B33" s="49">
        <v>37</v>
      </c>
      <c r="C33" s="152" t="str">
        <f xml:space="preserve"> IF(B33="","",setValueToTime(B33))</f>
        <v>3h5min</v>
      </c>
      <c r="D33" s="165" t="s">
        <v>150</v>
      </c>
      <c r="E33" s="233"/>
      <c r="F33" s="234"/>
      <c r="G33" s="51"/>
    </row>
    <row r="34" spans="1:7" s="52" customFormat="1" ht="15" thickBot="1" x14ac:dyDescent="0.35">
      <c r="A34" s="53" t="s">
        <v>93</v>
      </c>
      <c r="B34" s="54">
        <v>1</v>
      </c>
      <c r="C34" s="155" t="str">
        <f t="shared" ref="C34" si="4" xml:space="preserve"> IF(B34="","",setValueToTime(B34))</f>
        <v>0h5min</v>
      </c>
      <c r="D34" s="166" t="s">
        <v>118</v>
      </c>
      <c r="E34" s="237"/>
      <c r="F34" s="238"/>
      <c r="G34" s="51"/>
    </row>
    <row r="35" spans="1:7" s="52" customFormat="1" ht="15" thickBot="1" x14ac:dyDescent="0.35">
      <c r="A35" s="111" t="s">
        <v>28</v>
      </c>
      <c r="B35" s="84">
        <f>SUM(B33:B34)</f>
        <v>38</v>
      </c>
      <c r="C35" s="111" t="str">
        <f xml:space="preserve"> setValueToTime(B35)</f>
        <v>3h10min</v>
      </c>
      <c r="D35" s="120"/>
      <c r="E35" s="235"/>
      <c r="F35" s="236"/>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1" t="s">
        <v>15</v>
      </c>
      <c r="F38" s="232"/>
      <c r="G38" s="46"/>
    </row>
    <row r="39" spans="1:7" s="52" customFormat="1" ht="40.5" x14ac:dyDescent="0.3">
      <c r="A39" s="48" t="s">
        <v>107</v>
      </c>
      <c r="B39" s="49">
        <v>20</v>
      </c>
      <c r="C39" s="152" t="str">
        <f xml:space="preserve"> IF(B39="","",setValueToTime(B39))</f>
        <v>1h40min</v>
      </c>
      <c r="D39" s="165" t="s">
        <v>151</v>
      </c>
      <c r="E39" s="233"/>
      <c r="F39" s="234"/>
      <c r="G39" s="51"/>
    </row>
    <row r="40" spans="1:7" s="52" customFormat="1" ht="27" x14ac:dyDescent="0.3">
      <c r="A40" s="53" t="s">
        <v>123</v>
      </c>
      <c r="B40" s="54">
        <v>17</v>
      </c>
      <c r="C40" s="153" t="str">
        <f t="shared" ref="C40:C41" si="5" xml:space="preserve"> IF(B40="","",setValueToTime(B40))</f>
        <v>1h25min</v>
      </c>
      <c r="D40" s="166" t="s">
        <v>148</v>
      </c>
      <c r="E40" s="239"/>
      <c r="F40" s="240"/>
      <c r="G40" s="51"/>
    </row>
    <row r="41" spans="1:7" s="52" customFormat="1" ht="15" thickBot="1" x14ac:dyDescent="0.35">
      <c r="A41" s="53" t="s">
        <v>93</v>
      </c>
      <c r="B41" s="54">
        <v>1</v>
      </c>
      <c r="C41" s="155" t="str">
        <f t="shared" si="5"/>
        <v>0h5min</v>
      </c>
      <c r="D41" s="166" t="s">
        <v>118</v>
      </c>
      <c r="E41" s="237"/>
      <c r="F41" s="238"/>
      <c r="G41" s="51"/>
    </row>
    <row r="42" spans="1:7" s="52" customFormat="1" ht="15" thickBot="1" x14ac:dyDescent="0.35">
      <c r="A42" s="111" t="s">
        <v>28</v>
      </c>
      <c r="B42" s="84">
        <f>SUM(B39:B41)</f>
        <v>38</v>
      </c>
      <c r="C42" s="111" t="str">
        <f xml:space="preserve"> setValueToTime(B42)</f>
        <v>3h10min</v>
      </c>
      <c r="D42" s="120"/>
      <c r="E42" s="235"/>
      <c r="F42" s="236"/>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1" t="s">
        <v>15</v>
      </c>
      <c r="F45" s="232"/>
      <c r="G45" s="46"/>
    </row>
    <row r="46" spans="1:7" s="52" customFormat="1" ht="27" x14ac:dyDescent="0.3">
      <c r="A46" s="48" t="s">
        <v>123</v>
      </c>
      <c r="B46" s="49">
        <v>37</v>
      </c>
      <c r="C46" s="152" t="str">
        <f xml:space="preserve"> IF(B46="","",setValueToTime(B46))</f>
        <v>3h5min</v>
      </c>
      <c r="D46" s="165" t="s">
        <v>147</v>
      </c>
      <c r="E46" s="233"/>
      <c r="F46" s="234"/>
      <c r="G46" s="51"/>
    </row>
    <row r="47" spans="1:7" s="52" customFormat="1" ht="15" thickBot="1" x14ac:dyDescent="0.35">
      <c r="A47" s="53" t="s">
        <v>93</v>
      </c>
      <c r="B47" s="54">
        <v>1</v>
      </c>
      <c r="C47" s="155" t="str">
        <f t="shared" ref="C47" si="6" xml:space="preserve"> IF(B47="","",setValueToTime(B47))</f>
        <v>0h5min</v>
      </c>
      <c r="D47" s="166" t="s">
        <v>118</v>
      </c>
      <c r="E47" s="237"/>
      <c r="F47" s="238"/>
      <c r="G47" s="51"/>
    </row>
    <row r="48" spans="1:7" s="52" customFormat="1" ht="15" thickBot="1" x14ac:dyDescent="0.35">
      <c r="A48" s="111" t="s">
        <v>28</v>
      </c>
      <c r="B48" s="84">
        <f>SUM(B46:B47)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1" t="s">
        <v>15</v>
      </c>
      <c r="F51" s="232"/>
      <c r="G51" s="46"/>
    </row>
    <row r="52" spans="1:7" s="52" customFormat="1" ht="27" x14ac:dyDescent="0.3">
      <c r="A52" s="53" t="s">
        <v>98</v>
      </c>
      <c r="B52" s="54">
        <v>47</v>
      </c>
      <c r="C52" s="152" t="str">
        <f xml:space="preserve"> IF(B52="","",setValueToTime(B52))</f>
        <v>3h55min</v>
      </c>
      <c r="D52" s="166" t="s">
        <v>145</v>
      </c>
      <c r="E52" s="233"/>
      <c r="F52" s="234"/>
      <c r="G52" s="51"/>
    </row>
    <row r="53" spans="1:7" s="52" customFormat="1" ht="15" thickBot="1" x14ac:dyDescent="0.35">
      <c r="A53" s="53" t="s">
        <v>93</v>
      </c>
      <c r="B53" s="54">
        <v>1</v>
      </c>
      <c r="C53" s="155" t="str">
        <f t="shared" ref="C53" si="7" xml:space="preserve"> IF(B53="","",setValueToTime(B53))</f>
        <v>0h5min</v>
      </c>
      <c r="D53" s="166" t="s">
        <v>118</v>
      </c>
      <c r="E53" s="237"/>
      <c r="F53" s="238"/>
      <c r="G53" s="51"/>
    </row>
    <row r="54" spans="1:7" s="52" customFormat="1" ht="15" thickBot="1" x14ac:dyDescent="0.35">
      <c r="A54" s="111" t="s">
        <v>28</v>
      </c>
      <c r="B54" s="84">
        <f>SUM(B52:B53)</f>
        <v>48</v>
      </c>
      <c r="C54" s="111" t="str">
        <f xml:space="preserve"> setValueToTime(B54)</f>
        <v>4h</v>
      </c>
      <c r="D54" s="120"/>
      <c r="E54" s="235"/>
      <c r="F54" s="236"/>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1" t="s">
        <v>15</v>
      </c>
      <c r="F57" s="232"/>
      <c r="G57" s="46"/>
    </row>
    <row r="58" spans="1:7" s="52" customFormat="1" ht="40.5" x14ac:dyDescent="0.3">
      <c r="A58" s="48" t="s">
        <v>108</v>
      </c>
      <c r="B58" s="49">
        <v>37</v>
      </c>
      <c r="C58" s="152" t="str">
        <f xml:space="preserve"> IF(B58="","",setValueToTime(B58))</f>
        <v>3h5min</v>
      </c>
      <c r="D58" s="165" t="s">
        <v>146</v>
      </c>
      <c r="E58" s="233"/>
      <c r="F58" s="234"/>
      <c r="G58" s="51"/>
    </row>
    <row r="59" spans="1:7" s="52" customFormat="1" ht="15" thickBot="1" x14ac:dyDescent="0.35">
      <c r="A59" s="53" t="s">
        <v>93</v>
      </c>
      <c r="B59" s="54">
        <v>1</v>
      </c>
      <c r="C59" s="155" t="str">
        <f t="shared" ref="C59" si="8" xml:space="preserve"> IF(B59="","",setValueToTime(B59))</f>
        <v>0h5min</v>
      </c>
      <c r="D59" s="166" t="s">
        <v>118</v>
      </c>
      <c r="E59" s="237"/>
      <c r="F59" s="238"/>
      <c r="G59" s="51"/>
    </row>
    <row r="60" spans="1:7" s="52" customFormat="1" ht="15" thickBot="1" x14ac:dyDescent="0.35">
      <c r="A60" s="111" t="s">
        <v>28</v>
      </c>
      <c r="B60" s="84">
        <f>SUM(B58:B59)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1" t="s">
        <v>15</v>
      </c>
      <c r="F63" s="232"/>
      <c r="G63" s="46"/>
    </row>
    <row r="64" spans="1:7" s="52" customFormat="1" x14ac:dyDescent="0.3">
      <c r="A64" s="53" t="s">
        <v>98</v>
      </c>
      <c r="B64" s="54">
        <v>17</v>
      </c>
      <c r="C64" s="152" t="str">
        <f xml:space="preserve"> IF(B64="","",setValueToTime(B64))</f>
        <v>1h25min</v>
      </c>
      <c r="D64" s="166" t="s">
        <v>156</v>
      </c>
      <c r="E64" s="233"/>
      <c r="F64" s="234"/>
      <c r="G64" s="51"/>
    </row>
    <row r="65" spans="1:7" s="52" customFormat="1" ht="40.5" x14ac:dyDescent="0.3">
      <c r="A65" s="53" t="s">
        <v>108</v>
      </c>
      <c r="B65" s="54">
        <v>30</v>
      </c>
      <c r="C65" s="153" t="str">
        <f t="shared" ref="C65:C66" si="9" xml:space="preserve"> IF(B65="","",setValueToTime(B65))</f>
        <v>2h30min</v>
      </c>
      <c r="D65" s="55" t="s">
        <v>144</v>
      </c>
      <c r="E65" s="239"/>
      <c r="F65" s="240"/>
      <c r="G65" s="51"/>
    </row>
    <row r="66" spans="1:7" s="52" customFormat="1" ht="15" thickBot="1" x14ac:dyDescent="0.35">
      <c r="A66" s="53" t="s">
        <v>93</v>
      </c>
      <c r="B66" s="54">
        <v>1</v>
      </c>
      <c r="C66" s="155" t="str">
        <f t="shared" si="9"/>
        <v>0h5min</v>
      </c>
      <c r="D66" s="166" t="s">
        <v>118</v>
      </c>
      <c r="E66" s="237"/>
      <c r="F66" s="238"/>
      <c r="G66" s="51"/>
    </row>
    <row r="67" spans="1:7" s="52" customFormat="1" ht="15" thickBot="1" x14ac:dyDescent="0.35">
      <c r="A67" s="111" t="s">
        <v>28</v>
      </c>
      <c r="B67" s="84">
        <f>SUM(B64:B66)</f>
        <v>48</v>
      </c>
      <c r="C67" s="111" t="str">
        <f xml:space="preserve"> setValueToTime(B67)</f>
        <v>4h</v>
      </c>
      <c r="D67" s="120"/>
      <c r="E67" s="235"/>
      <c r="F67" s="236"/>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1" t="s">
        <v>15</v>
      </c>
      <c r="F70" s="232"/>
      <c r="G70" s="46"/>
    </row>
    <row r="71" spans="1:7" s="52" customFormat="1" ht="27" x14ac:dyDescent="0.3">
      <c r="A71" s="48" t="s">
        <v>122</v>
      </c>
      <c r="B71" s="49">
        <v>15</v>
      </c>
      <c r="C71" s="153" t="str">
        <f t="shared" ref="C71:C73" si="10" xml:space="preserve"> IF(B71="","",setValueToTime(B71))</f>
        <v>1h15min</v>
      </c>
      <c r="D71" s="165" t="s">
        <v>143</v>
      </c>
      <c r="E71" s="233"/>
      <c r="F71" s="234"/>
      <c r="G71" s="51"/>
    </row>
    <row r="72" spans="1:7" s="52" customFormat="1" ht="40.5" x14ac:dyDescent="0.3">
      <c r="A72" s="53" t="s">
        <v>142</v>
      </c>
      <c r="B72" s="54">
        <v>22</v>
      </c>
      <c r="C72" s="153" t="str">
        <f t="shared" si="10"/>
        <v>1h50min</v>
      </c>
      <c r="D72" s="166" t="s">
        <v>155</v>
      </c>
      <c r="E72" s="239"/>
      <c r="F72" s="240"/>
      <c r="G72" s="51"/>
    </row>
    <row r="73" spans="1:7" s="52" customFormat="1" ht="15" thickBot="1" x14ac:dyDescent="0.35">
      <c r="A73" s="53" t="s">
        <v>93</v>
      </c>
      <c r="B73" s="54">
        <v>1</v>
      </c>
      <c r="C73" s="155" t="str">
        <f t="shared" si="10"/>
        <v>0h5min</v>
      </c>
      <c r="D73" s="166" t="s">
        <v>118</v>
      </c>
      <c r="E73" s="237"/>
      <c r="F73" s="238"/>
      <c r="G73" s="51"/>
    </row>
    <row r="74" spans="1:7" s="52" customFormat="1" ht="15" thickBot="1" x14ac:dyDescent="0.35">
      <c r="A74" s="111" t="s">
        <v>28</v>
      </c>
      <c r="B74" s="84">
        <f>SUM(B71:B73)</f>
        <v>38</v>
      </c>
      <c r="C74" s="111" t="str">
        <f xml:space="preserve"> setValueToTime(B74)</f>
        <v>3h10min</v>
      </c>
      <c r="D74" s="120"/>
      <c r="E74" s="235"/>
      <c r="F74" s="236"/>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1" t="s">
        <v>15</v>
      </c>
      <c r="F77" s="232"/>
      <c r="G77" s="46"/>
    </row>
    <row r="78" spans="1:7" s="52" customFormat="1" ht="27" x14ac:dyDescent="0.3">
      <c r="A78" s="48" t="s">
        <v>95</v>
      </c>
      <c r="B78" s="49">
        <v>6</v>
      </c>
      <c r="C78" s="152" t="str">
        <f xml:space="preserve"> IF(B78="","",setValueToTime(B78))</f>
        <v>0h30min</v>
      </c>
      <c r="D78" s="165" t="s">
        <v>139</v>
      </c>
      <c r="E78" s="233"/>
      <c r="F78" s="234"/>
      <c r="G78" s="51"/>
    </row>
    <row r="79" spans="1:7" s="52" customFormat="1" ht="27" x14ac:dyDescent="0.3">
      <c r="A79" s="53" t="s">
        <v>112</v>
      </c>
      <c r="B79" s="54">
        <v>31</v>
      </c>
      <c r="C79" s="153" t="str">
        <f t="shared" ref="C79:C80" si="11" xml:space="preserve"> IF(B79="","",setValueToTime(B79))</f>
        <v>2h35min</v>
      </c>
      <c r="D79" s="166" t="s">
        <v>140</v>
      </c>
      <c r="E79" s="239"/>
      <c r="F79" s="240"/>
      <c r="G79" s="51"/>
    </row>
    <row r="80" spans="1:7" s="52" customFormat="1" ht="15" thickBot="1" x14ac:dyDescent="0.35">
      <c r="A80" s="53" t="s">
        <v>93</v>
      </c>
      <c r="B80" s="54">
        <v>1</v>
      </c>
      <c r="C80" s="155" t="str">
        <f t="shared" si="11"/>
        <v>0h5min</v>
      </c>
      <c r="D80" s="166" t="s">
        <v>118</v>
      </c>
      <c r="E80" s="237"/>
      <c r="F80" s="238"/>
      <c r="G80" s="51"/>
    </row>
    <row r="81" spans="1:7" s="52" customFormat="1" ht="15" thickBot="1" x14ac:dyDescent="0.35">
      <c r="A81" s="111" t="s">
        <v>28</v>
      </c>
      <c r="B81" s="84">
        <f>SUM(B78:B80)</f>
        <v>38</v>
      </c>
      <c r="C81" s="111" t="str">
        <f xml:space="preserve"> setValueToTime(B81)</f>
        <v>3h10min</v>
      </c>
      <c r="D81" s="120"/>
      <c r="E81" s="235"/>
      <c r="F81" s="236"/>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1" t="s">
        <v>15</v>
      </c>
      <c r="F84" s="232"/>
      <c r="G84" s="46"/>
    </row>
    <row r="85" spans="1:7" s="52" customFormat="1" ht="27" x14ac:dyDescent="0.3">
      <c r="A85" s="48" t="s">
        <v>96</v>
      </c>
      <c r="B85" s="49">
        <v>30</v>
      </c>
      <c r="C85" s="152" t="str">
        <f xml:space="preserve"> IF(B85="","",setValueToTime(B85))</f>
        <v>2h30min</v>
      </c>
      <c r="D85" s="165" t="s">
        <v>138</v>
      </c>
      <c r="E85" s="233"/>
      <c r="F85" s="234"/>
      <c r="G85" s="51"/>
    </row>
    <row r="86" spans="1:7" s="52" customFormat="1" x14ac:dyDescent="0.3">
      <c r="A86" s="53" t="s">
        <v>110</v>
      </c>
      <c r="B86" s="54">
        <v>17</v>
      </c>
      <c r="C86" s="153" t="str">
        <f t="shared" ref="C86:C87" si="12" xml:space="preserve"> IF(B86="","",setValueToTime(B86))</f>
        <v>1h25min</v>
      </c>
      <c r="D86" s="166" t="s">
        <v>141</v>
      </c>
      <c r="E86" s="239"/>
      <c r="F86" s="240"/>
      <c r="G86" s="51"/>
    </row>
    <row r="87" spans="1:7" s="52" customFormat="1" ht="15" thickBot="1" x14ac:dyDescent="0.35">
      <c r="A87" s="53" t="s">
        <v>93</v>
      </c>
      <c r="B87" s="54">
        <v>1</v>
      </c>
      <c r="C87" s="155" t="str">
        <f t="shared" si="12"/>
        <v>0h5min</v>
      </c>
      <c r="D87" s="166" t="s">
        <v>118</v>
      </c>
      <c r="E87" s="237"/>
      <c r="F87" s="238"/>
      <c r="G87" s="51"/>
    </row>
    <row r="88" spans="1:7" s="52" customFormat="1" ht="15" thickBot="1" x14ac:dyDescent="0.35">
      <c r="A88" s="111" t="s">
        <v>28</v>
      </c>
      <c r="B88" s="84">
        <f>SUM(B85:B87)</f>
        <v>48</v>
      </c>
      <c r="C88" s="111" t="str">
        <f xml:space="preserve"> setValueToTime(B88)</f>
        <v>4h</v>
      </c>
      <c r="D88" s="120"/>
      <c r="E88" s="235"/>
      <c r="F88" s="236"/>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1" t="s">
        <v>15</v>
      </c>
      <c r="F91" s="232"/>
      <c r="G91" s="46"/>
    </row>
    <row r="92" spans="1:7" s="52" customFormat="1" ht="27" x14ac:dyDescent="0.3">
      <c r="A92" s="48" t="s">
        <v>104</v>
      </c>
      <c r="B92" s="49">
        <v>37</v>
      </c>
      <c r="C92" s="152" t="str">
        <f xml:space="preserve"> IF(B92="","",setValueToTime(B92))</f>
        <v>3h5min</v>
      </c>
      <c r="D92" s="165" t="s">
        <v>137</v>
      </c>
      <c r="E92" s="233"/>
      <c r="F92" s="234"/>
      <c r="G92" s="51"/>
    </row>
    <row r="93" spans="1:7" s="52" customFormat="1" ht="15" thickBot="1" x14ac:dyDescent="0.35">
      <c r="A93" s="53" t="s">
        <v>93</v>
      </c>
      <c r="B93" s="54">
        <v>1</v>
      </c>
      <c r="C93" s="155" t="str">
        <f t="shared" ref="C93" si="13" xml:space="preserve"> IF(B93="","",setValueToTime(B93))</f>
        <v>0h5min</v>
      </c>
      <c r="D93" s="166" t="s">
        <v>118</v>
      </c>
      <c r="E93" s="237"/>
      <c r="F93" s="238"/>
      <c r="G93" s="51"/>
    </row>
    <row r="94" spans="1:7" s="52" customFormat="1" ht="15" thickBot="1" x14ac:dyDescent="0.35">
      <c r="A94" s="111" t="s">
        <v>28</v>
      </c>
      <c r="B94" s="84">
        <f>SUM(B92:B93)</f>
        <v>38</v>
      </c>
      <c r="C94" s="111" t="str">
        <f xml:space="preserve"> setValueToTime(B94)</f>
        <v>3h10min</v>
      </c>
      <c r="D94" s="120"/>
      <c r="E94" s="235"/>
      <c r="F94" s="236"/>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1" t="s">
        <v>15</v>
      </c>
      <c r="F97" s="232"/>
      <c r="G97" s="46"/>
    </row>
    <row r="98" spans="1:7" s="52" customFormat="1" ht="27" x14ac:dyDescent="0.3">
      <c r="A98" s="48" t="s">
        <v>111</v>
      </c>
      <c r="B98" s="49">
        <v>2</v>
      </c>
      <c r="C98" s="152" t="str">
        <f xml:space="preserve"> IF(B98="","",setValueToTime(B98))</f>
        <v>0h10min</v>
      </c>
      <c r="D98" s="165" t="s">
        <v>136</v>
      </c>
      <c r="E98" s="233"/>
      <c r="F98" s="234"/>
      <c r="G98" s="51"/>
    </row>
    <row r="99" spans="1:7" s="52" customFormat="1" ht="27" x14ac:dyDescent="0.3">
      <c r="A99" s="53" t="s">
        <v>105</v>
      </c>
      <c r="B99" s="54">
        <v>26</v>
      </c>
      <c r="C99" s="153" t="str">
        <f t="shared" ref="C99:C101" si="14" xml:space="preserve"> IF(B99="","",setValueToTime(B99))</f>
        <v>2h10min</v>
      </c>
      <c r="D99" s="166" t="s">
        <v>135</v>
      </c>
      <c r="E99" s="239"/>
      <c r="F99" s="240"/>
      <c r="G99" s="51"/>
    </row>
    <row r="100" spans="1:7" s="52" customFormat="1" ht="40.5" x14ac:dyDescent="0.3">
      <c r="A100" s="53" t="s">
        <v>113</v>
      </c>
      <c r="B100" s="54">
        <v>9</v>
      </c>
      <c r="C100" s="153" t="str">
        <f t="shared" si="14"/>
        <v>0h45min</v>
      </c>
      <c r="D100" s="166" t="s">
        <v>159</v>
      </c>
      <c r="E100" s="239"/>
      <c r="F100" s="240"/>
      <c r="G100" s="51"/>
    </row>
    <row r="101" spans="1:7" s="52" customFormat="1" ht="15" thickBot="1" x14ac:dyDescent="0.35">
      <c r="A101" s="53" t="s">
        <v>93</v>
      </c>
      <c r="B101" s="54">
        <v>1</v>
      </c>
      <c r="C101" s="155" t="str">
        <f t="shared" si="14"/>
        <v>0h5min</v>
      </c>
      <c r="D101" s="166" t="s">
        <v>118</v>
      </c>
      <c r="E101" s="237"/>
      <c r="F101" s="238"/>
      <c r="G101" s="51"/>
    </row>
    <row r="102" spans="1:7" s="52" customFormat="1" ht="15" thickBot="1" x14ac:dyDescent="0.35">
      <c r="A102" s="111" t="s">
        <v>28</v>
      </c>
      <c r="B102" s="84">
        <f>SUM(B98:B101)</f>
        <v>38</v>
      </c>
      <c r="C102" s="111" t="str">
        <f xml:space="preserve"> setValueToTime(B102)</f>
        <v>3h10min</v>
      </c>
      <c r="D102" s="120"/>
      <c r="E102" s="235"/>
      <c r="F102" s="236"/>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1" t="s">
        <v>15</v>
      </c>
      <c r="F105" s="232"/>
      <c r="G105" s="46"/>
    </row>
    <row r="106" spans="1:7" s="52" customFormat="1" ht="27" x14ac:dyDescent="0.3">
      <c r="A106" s="48" t="s">
        <v>114</v>
      </c>
      <c r="B106" s="49">
        <v>37</v>
      </c>
      <c r="C106" s="152" t="str">
        <f xml:space="preserve"> IF(B106="","",setValueToTime(B106))</f>
        <v>3h5min</v>
      </c>
      <c r="D106" s="165" t="s">
        <v>134</v>
      </c>
      <c r="E106" s="233"/>
      <c r="F106" s="234"/>
      <c r="G106" s="51"/>
    </row>
    <row r="107" spans="1:7" s="52" customFormat="1" ht="15" thickBot="1" x14ac:dyDescent="0.35">
      <c r="A107" s="53" t="s">
        <v>93</v>
      </c>
      <c r="B107" s="54">
        <v>1</v>
      </c>
      <c r="C107" s="155" t="str">
        <f t="shared" ref="C107" si="15" xml:space="preserve"> IF(B107="","",setValueToTime(B107))</f>
        <v>0h5min</v>
      </c>
      <c r="D107" s="166" t="s">
        <v>118</v>
      </c>
      <c r="E107" s="237"/>
      <c r="F107" s="238"/>
      <c r="G107" s="51"/>
    </row>
    <row r="108" spans="1:7" s="52" customFormat="1" ht="15" thickBot="1" x14ac:dyDescent="0.35">
      <c r="A108" s="111" t="s">
        <v>28</v>
      </c>
      <c r="B108" s="84">
        <f>SUM(B106:B107)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1" t="s">
        <v>15</v>
      </c>
      <c r="F111" s="232"/>
      <c r="G111" s="46"/>
    </row>
    <row r="112" spans="1:7" s="52" customFormat="1" ht="15" thickBot="1" x14ac:dyDescent="0.35">
      <c r="A112" s="48" t="s">
        <v>4</v>
      </c>
      <c r="B112" s="49">
        <v>38</v>
      </c>
      <c r="C112" s="152" t="str">
        <f xml:space="preserve"> IF(B112="","",setValueToTime(B112))</f>
        <v>3h10min</v>
      </c>
      <c r="D112" s="165" t="s">
        <v>119</v>
      </c>
      <c r="E112" s="233"/>
      <c r="F112" s="234"/>
      <c r="G112" s="51"/>
    </row>
    <row r="113" spans="1:7" s="52" customFormat="1" ht="15" thickBot="1" x14ac:dyDescent="0.35">
      <c r="A113" s="111" t="s">
        <v>28</v>
      </c>
      <c r="B113" s="84">
        <f>SUM(B112:B112)</f>
        <v>38</v>
      </c>
      <c r="C113" s="111" t="str">
        <f xml:space="preserve"> setValueToTime(B113)</f>
        <v>3h10min</v>
      </c>
      <c r="D113" s="120"/>
      <c r="E113" s="235"/>
      <c r="F113" s="236"/>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1" t="s">
        <v>15</v>
      </c>
      <c r="F116" s="232"/>
      <c r="G116" s="46"/>
    </row>
    <row r="117" spans="1:7" s="52" customFormat="1" ht="15" thickBot="1" x14ac:dyDescent="0.35">
      <c r="A117" s="48" t="s">
        <v>4</v>
      </c>
      <c r="B117" s="49">
        <v>48</v>
      </c>
      <c r="C117" s="152" t="str">
        <f xml:space="preserve"> IF(B117="","",setValueToTime(B117))</f>
        <v>4h</v>
      </c>
      <c r="D117" s="165" t="s">
        <v>119</v>
      </c>
      <c r="E117" s="233"/>
      <c r="F117" s="234"/>
      <c r="G117" s="51"/>
    </row>
    <row r="118" spans="1:7" s="52" customFormat="1" ht="15" thickBot="1" x14ac:dyDescent="0.35">
      <c r="A118" s="111" t="s">
        <v>28</v>
      </c>
      <c r="B118" s="84">
        <f>SUM(B117:B117)</f>
        <v>48</v>
      </c>
      <c r="C118" s="111" t="str">
        <f xml:space="preserve"> setValueToTime(B118)</f>
        <v>4h</v>
      </c>
      <c r="D118" s="120"/>
      <c r="E118" s="235"/>
      <c r="F118" s="236"/>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1" t="s">
        <v>15</v>
      </c>
      <c r="F121" s="232"/>
      <c r="G121" s="46"/>
    </row>
    <row r="122" spans="1:7" s="52" customFormat="1" ht="40.5" x14ac:dyDescent="0.3">
      <c r="A122" s="48" t="s">
        <v>116</v>
      </c>
      <c r="B122" s="49">
        <v>37</v>
      </c>
      <c r="C122" s="152" t="str">
        <f xml:space="preserve"> IF(B122="","",setValueToTime(B122))</f>
        <v>3h5min</v>
      </c>
      <c r="D122" s="165" t="s">
        <v>132</v>
      </c>
      <c r="E122" s="241" t="s">
        <v>131</v>
      </c>
      <c r="F122" s="234"/>
      <c r="G122" s="51"/>
    </row>
    <row r="123" spans="1:7" s="52" customFormat="1" ht="15" thickBot="1" x14ac:dyDescent="0.35">
      <c r="A123" s="53" t="s">
        <v>93</v>
      </c>
      <c r="B123" s="54">
        <v>1</v>
      </c>
      <c r="C123" s="155" t="str">
        <f t="shared" ref="C123" si="16" xml:space="preserve"> IF(B123="","",setValueToTime(B123))</f>
        <v>0h5min</v>
      </c>
      <c r="D123" s="166" t="s">
        <v>118</v>
      </c>
      <c r="E123" s="237"/>
      <c r="F123" s="238"/>
      <c r="G123" s="51"/>
    </row>
    <row r="124" spans="1:7" s="52" customFormat="1" ht="15" thickBot="1" x14ac:dyDescent="0.35">
      <c r="A124" s="111" t="s">
        <v>28</v>
      </c>
      <c r="B124" s="84">
        <f>SUM(B122:B123)</f>
        <v>38</v>
      </c>
      <c r="C124" s="111" t="str">
        <f xml:space="preserve"> setValueToTime(B124)</f>
        <v>3h10min</v>
      </c>
      <c r="D124" s="120"/>
      <c r="E124" s="235"/>
      <c r="F124" s="236"/>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1" t="s">
        <v>15</v>
      </c>
      <c r="F127" s="232"/>
      <c r="G127" s="46"/>
    </row>
    <row r="128" spans="1:7" s="52" customFormat="1" ht="27" x14ac:dyDescent="0.3">
      <c r="A128" s="48" t="s">
        <v>117</v>
      </c>
      <c r="B128" s="49">
        <v>47</v>
      </c>
      <c r="C128" s="152" t="str">
        <f xml:space="preserve"> IF(B128="","",setValueToTime(B128))</f>
        <v>3h55min</v>
      </c>
      <c r="D128" s="165" t="s">
        <v>130</v>
      </c>
      <c r="E128" s="233"/>
      <c r="F128" s="234"/>
      <c r="G128" s="51"/>
    </row>
    <row r="129" spans="1:7" s="52" customFormat="1" ht="15" thickBot="1" x14ac:dyDescent="0.35">
      <c r="A129" s="53" t="s">
        <v>93</v>
      </c>
      <c r="B129" s="54">
        <v>1</v>
      </c>
      <c r="C129" s="155" t="str">
        <f t="shared" ref="C129" si="17" xml:space="preserve"> IF(B129="","",setValueToTime(B129))</f>
        <v>0h5min</v>
      </c>
      <c r="D129" s="166" t="s">
        <v>118</v>
      </c>
      <c r="E129" s="237"/>
      <c r="F129" s="238"/>
      <c r="G129" s="51"/>
    </row>
    <row r="130" spans="1:7" s="52" customFormat="1" ht="15" thickBot="1" x14ac:dyDescent="0.35">
      <c r="A130" s="111" t="s">
        <v>28</v>
      </c>
      <c r="B130" s="84">
        <f>SUM(B128:B129)</f>
        <v>48</v>
      </c>
      <c r="C130" s="111" t="str">
        <f xml:space="preserve"> setValueToTime(B130)</f>
        <v>4h</v>
      </c>
      <c r="D130" s="120"/>
      <c r="E130" s="235"/>
      <c r="F130" s="236"/>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1" t="s">
        <v>15</v>
      </c>
      <c r="F133" s="232"/>
      <c r="G133" s="46"/>
    </row>
    <row r="134" spans="1:7" s="52" customFormat="1" ht="27" x14ac:dyDescent="0.3">
      <c r="A134" s="48" t="s">
        <v>101</v>
      </c>
      <c r="B134" s="49">
        <v>37</v>
      </c>
      <c r="C134" s="152" t="str">
        <f xml:space="preserve"> IF(B134="","",setValueToTime(B134))</f>
        <v>3h5min</v>
      </c>
      <c r="D134" s="165" t="s">
        <v>128</v>
      </c>
      <c r="E134" s="233"/>
      <c r="F134" s="234"/>
      <c r="G134" s="51"/>
    </row>
    <row r="135" spans="1:7" s="52" customFormat="1" ht="15" thickBot="1" x14ac:dyDescent="0.35">
      <c r="A135" s="53" t="s">
        <v>93</v>
      </c>
      <c r="B135" s="54">
        <v>1</v>
      </c>
      <c r="C135" s="155" t="str">
        <f t="shared" ref="C135" si="18" xml:space="preserve"> IF(B135="","",setValueToTime(B135))</f>
        <v>0h5min</v>
      </c>
      <c r="D135" s="166" t="s">
        <v>118</v>
      </c>
      <c r="E135" s="237"/>
      <c r="F135" s="238"/>
      <c r="G135" s="51"/>
    </row>
    <row r="136" spans="1:7" s="52" customFormat="1" ht="15" thickBot="1" x14ac:dyDescent="0.35">
      <c r="A136" s="111" t="s">
        <v>28</v>
      </c>
      <c r="B136" s="84">
        <f>SUM(B134:B135)</f>
        <v>38</v>
      </c>
      <c r="C136" s="111" t="str">
        <f xml:space="preserve"> setValueToTime(B136)</f>
        <v>3h10min</v>
      </c>
      <c r="D136" s="120"/>
      <c r="E136" s="235"/>
      <c r="F136" s="236"/>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1" t="s">
        <v>15</v>
      </c>
      <c r="F139" s="232"/>
      <c r="G139" s="46"/>
    </row>
    <row r="140" spans="1:7" s="52" customFormat="1" ht="27" x14ac:dyDescent="0.3">
      <c r="A140" s="48" t="s">
        <v>101</v>
      </c>
      <c r="B140" s="49">
        <v>37</v>
      </c>
      <c r="C140" s="152" t="str">
        <f xml:space="preserve"> IF(B140="","",setValueToTime(B140))</f>
        <v>3h5min</v>
      </c>
      <c r="D140" s="165" t="s">
        <v>129</v>
      </c>
      <c r="E140" s="233"/>
      <c r="F140" s="234"/>
      <c r="G140" s="51"/>
    </row>
    <row r="141" spans="1:7" s="52" customFormat="1" ht="15" thickBot="1" x14ac:dyDescent="0.35">
      <c r="A141" s="53" t="s">
        <v>93</v>
      </c>
      <c r="B141" s="54">
        <v>1</v>
      </c>
      <c r="C141" s="155" t="str">
        <f t="shared" ref="C141" si="19" xml:space="preserve"> IF(B141="","",setValueToTime(B141))</f>
        <v>0h5min</v>
      </c>
      <c r="D141" s="166" t="s">
        <v>118</v>
      </c>
      <c r="E141" s="237"/>
      <c r="F141" s="238"/>
      <c r="G141" s="51"/>
    </row>
    <row r="142" spans="1:7" s="52" customFormat="1" ht="15" thickBot="1" x14ac:dyDescent="0.35">
      <c r="A142" s="111" t="s">
        <v>28</v>
      </c>
      <c r="B142" s="84">
        <f>SUM(B140:B141)</f>
        <v>38</v>
      </c>
      <c r="C142" s="111" t="str">
        <f xml:space="preserve"> setValueToTime(B142)</f>
        <v>3h10min</v>
      </c>
      <c r="D142" s="120"/>
      <c r="E142" s="235"/>
      <c r="F142" s="236"/>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1" t="s">
        <v>15</v>
      </c>
      <c r="F145" s="232"/>
      <c r="G145" s="46"/>
    </row>
    <row r="146" spans="1:7" s="52" customFormat="1" ht="54" x14ac:dyDescent="0.3">
      <c r="A146" s="48" t="s">
        <v>102</v>
      </c>
      <c r="B146" s="49">
        <v>37</v>
      </c>
      <c r="C146" s="152" t="str">
        <f xml:space="preserve"> IF(B146="","",setValueToTime(B146))</f>
        <v>3h5min</v>
      </c>
      <c r="D146" s="165" t="s">
        <v>127</v>
      </c>
      <c r="E146" s="233"/>
      <c r="F146" s="234"/>
      <c r="G146" s="51"/>
    </row>
    <row r="147" spans="1:7" s="52" customFormat="1" ht="15" thickBot="1" x14ac:dyDescent="0.35">
      <c r="A147" s="53" t="s">
        <v>93</v>
      </c>
      <c r="B147" s="54">
        <v>1</v>
      </c>
      <c r="C147" s="155" t="str">
        <f t="shared" ref="C147" si="20" xml:space="preserve"> IF(B147="","",setValueToTime(B147))</f>
        <v>0h5min</v>
      </c>
      <c r="D147" s="166" t="s">
        <v>118</v>
      </c>
      <c r="E147" s="237"/>
      <c r="F147" s="238"/>
      <c r="G147" s="51"/>
    </row>
    <row r="148" spans="1:7" s="52" customFormat="1" ht="15" thickBot="1" x14ac:dyDescent="0.35">
      <c r="A148" s="111" t="s">
        <v>28</v>
      </c>
      <c r="B148" s="84">
        <f>SUM(B146:B147)</f>
        <v>38</v>
      </c>
      <c r="C148" s="111" t="str">
        <f xml:space="preserve"> setValueToTime(B148)</f>
        <v>3h10min</v>
      </c>
      <c r="D148" s="120"/>
      <c r="E148" s="235"/>
      <c r="F148" s="236"/>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1" t="s">
        <v>15</v>
      </c>
      <c r="F151" s="232"/>
      <c r="G151" s="46"/>
    </row>
    <row r="152" spans="1:7" s="52" customFormat="1" ht="27" x14ac:dyDescent="0.3">
      <c r="A152" s="48" t="s">
        <v>103</v>
      </c>
      <c r="B152" s="49">
        <v>6</v>
      </c>
      <c r="C152" s="152" t="str">
        <f xml:space="preserve"> IF(B152="","",setValueToTime(B152))</f>
        <v>0h30min</v>
      </c>
      <c r="D152" s="165" t="s">
        <v>125</v>
      </c>
      <c r="E152" s="233"/>
      <c r="F152" s="234"/>
      <c r="G152" s="51"/>
    </row>
    <row r="153" spans="1:7" s="52" customFormat="1" ht="27" x14ac:dyDescent="0.3">
      <c r="A153" s="53" t="s">
        <v>111</v>
      </c>
      <c r="B153" s="54">
        <v>4</v>
      </c>
      <c r="C153" s="153" t="str">
        <f t="shared" ref="C153:C155" si="21" xml:space="preserve"> IF(B153="","",setValueToTime(B153))</f>
        <v>0h20min</v>
      </c>
      <c r="D153" s="166" t="s">
        <v>158</v>
      </c>
      <c r="E153" s="239"/>
      <c r="F153" s="240"/>
      <c r="G153" s="51"/>
    </row>
    <row r="154" spans="1:7" s="52" customFormat="1" ht="27" x14ac:dyDescent="0.3">
      <c r="A154" s="53" t="s">
        <v>100</v>
      </c>
      <c r="B154" s="54">
        <v>27</v>
      </c>
      <c r="C154" s="153" t="str">
        <f t="shared" si="21"/>
        <v>2h15min</v>
      </c>
      <c r="D154" s="166" t="s">
        <v>126</v>
      </c>
      <c r="E154" s="239"/>
      <c r="F154" s="240"/>
      <c r="G154" s="51"/>
    </row>
    <row r="155" spans="1:7" s="52" customFormat="1" ht="15" thickBot="1" x14ac:dyDescent="0.35">
      <c r="A155" s="53" t="s">
        <v>93</v>
      </c>
      <c r="B155" s="54">
        <v>1</v>
      </c>
      <c r="C155" s="155" t="str">
        <f t="shared" si="21"/>
        <v>0h5min</v>
      </c>
      <c r="D155" s="166" t="s">
        <v>118</v>
      </c>
      <c r="E155" s="237"/>
      <c r="F155" s="238"/>
      <c r="G155" s="51"/>
    </row>
    <row r="156" spans="1:7" s="52" customFormat="1" ht="15" thickBot="1" x14ac:dyDescent="0.35">
      <c r="A156" s="111" t="s">
        <v>28</v>
      </c>
      <c r="B156" s="84">
        <f>SUM(B152:B155)</f>
        <v>38</v>
      </c>
      <c r="C156" s="111" t="str">
        <f xml:space="preserve"> setValueToTime(B156)</f>
        <v>3h10min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1" t="s">
        <v>15</v>
      </c>
      <c r="F159" s="232"/>
      <c r="G159" s="46"/>
    </row>
    <row r="160" spans="1:7" s="52" customFormat="1" x14ac:dyDescent="0.3">
      <c r="A160" s="48" t="s">
        <v>97</v>
      </c>
      <c r="B160" s="49">
        <v>47</v>
      </c>
      <c r="C160" s="152" t="str">
        <f xml:space="preserve"> IF(B160="","",setValueToTime(B160))</f>
        <v>3h55min</v>
      </c>
      <c r="D160" s="165" t="s">
        <v>120</v>
      </c>
      <c r="E160" s="233"/>
      <c r="F160" s="234"/>
      <c r="G160" s="51"/>
    </row>
    <row r="161" spans="1:7" s="52" customFormat="1" ht="15" thickBot="1" x14ac:dyDescent="0.35">
      <c r="A161" s="53" t="s">
        <v>93</v>
      </c>
      <c r="B161" s="54">
        <v>1</v>
      </c>
      <c r="C161" s="153" t="str">
        <f t="shared" ref="C161" si="22" xml:space="preserve"> IF(B161="","",setValueToTime(B161))</f>
        <v>0h5min</v>
      </c>
      <c r="D161" s="166" t="s">
        <v>118</v>
      </c>
      <c r="E161" s="239"/>
      <c r="F161" s="240"/>
      <c r="G161" s="51"/>
    </row>
    <row r="162" spans="1:7" s="52" customFormat="1" ht="15" thickBot="1" x14ac:dyDescent="0.35">
      <c r="A162" s="111" t="s">
        <v>28</v>
      </c>
      <c r="B162" s="84">
        <f>SUM(B160:B161)</f>
        <v>48</v>
      </c>
      <c r="C162" s="111" t="str">
        <f xml:space="preserve"> setValueToTime(B162)</f>
        <v>4h</v>
      </c>
      <c r="D162" s="120"/>
      <c r="E162" s="235"/>
      <c r="F162" s="236"/>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1" t="s">
        <v>15</v>
      </c>
      <c r="F165" s="232"/>
      <c r="G165" s="46"/>
    </row>
    <row r="166" spans="1:7" s="52" customFormat="1" x14ac:dyDescent="0.3">
      <c r="A166" s="48" t="s">
        <v>97</v>
      </c>
      <c r="B166" s="49">
        <v>37</v>
      </c>
      <c r="C166" s="152" t="str">
        <f xml:space="preserve"> IF(B166="","",setValueToTime(B166))</f>
        <v>3h5min</v>
      </c>
      <c r="D166" s="165" t="s">
        <v>124</v>
      </c>
      <c r="E166" s="233"/>
      <c r="F166" s="234"/>
      <c r="G166" s="51"/>
    </row>
    <row r="167" spans="1:7" s="52" customFormat="1" ht="15" thickBot="1" x14ac:dyDescent="0.35">
      <c r="A167" s="53" t="s">
        <v>93</v>
      </c>
      <c r="B167" s="54">
        <v>1</v>
      </c>
      <c r="C167" s="153" t="str">
        <f t="shared" ref="C167" si="23" xml:space="preserve"> IF(B167="","",setValueToTime(B167))</f>
        <v>0h5min</v>
      </c>
      <c r="D167" s="166" t="s">
        <v>118</v>
      </c>
      <c r="E167" s="239"/>
      <c r="F167" s="240"/>
      <c r="G167" s="51"/>
    </row>
    <row r="168" spans="1:7" s="52" customFormat="1" ht="15" thickBot="1" x14ac:dyDescent="0.35">
      <c r="A168" s="111" t="s">
        <v>28</v>
      </c>
      <c r="B168" s="84">
        <f>SUM(B166:B167)</f>
        <v>38</v>
      </c>
      <c r="C168" s="111" t="str">
        <f xml:space="preserve"> setValueToTime(B168)</f>
        <v>3h10min</v>
      </c>
      <c r="D168" s="120"/>
      <c r="E168" s="235"/>
      <c r="F168" s="236"/>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34" priority="33" operator="greaterThan">
      <formula>60</formula>
    </cfRule>
  </conditionalFormatting>
  <conditionalFormatting sqref="B162">
    <cfRule type="cellIs" dxfId="33" priority="32" operator="greaterThan">
      <formula>60</formula>
    </cfRule>
  </conditionalFormatting>
  <conditionalFormatting sqref="B156">
    <cfRule type="cellIs" dxfId="32" priority="31" operator="greaterThan">
      <formula>60</formula>
    </cfRule>
  </conditionalFormatting>
  <conditionalFormatting sqref="B148">
    <cfRule type="cellIs" dxfId="31" priority="30" operator="greaterThan">
      <formula>60</formula>
    </cfRule>
  </conditionalFormatting>
  <conditionalFormatting sqref="B142">
    <cfRule type="cellIs" dxfId="30" priority="29" operator="greaterThan">
      <formula>60</formula>
    </cfRule>
  </conditionalFormatting>
  <conditionalFormatting sqref="B136">
    <cfRule type="cellIs" dxfId="29" priority="28" operator="greaterThan">
      <formula>60</formula>
    </cfRule>
  </conditionalFormatting>
  <conditionalFormatting sqref="B130">
    <cfRule type="cellIs" dxfId="28" priority="27" operator="greaterThan">
      <formula>60</formula>
    </cfRule>
  </conditionalFormatting>
  <conditionalFormatting sqref="B124">
    <cfRule type="cellIs" dxfId="27" priority="26" operator="greaterThan">
      <formula>60</formula>
    </cfRule>
  </conditionalFormatting>
  <conditionalFormatting sqref="B118">
    <cfRule type="cellIs" dxfId="26" priority="25" operator="greaterThan">
      <formula>60</formula>
    </cfRule>
  </conditionalFormatting>
  <conditionalFormatting sqref="B113">
    <cfRule type="cellIs" dxfId="25" priority="24" operator="greaterThan">
      <formula>60</formula>
    </cfRule>
  </conditionalFormatting>
  <conditionalFormatting sqref="B108">
    <cfRule type="cellIs" dxfId="24" priority="23" operator="greaterThan">
      <formula>60</formula>
    </cfRule>
  </conditionalFormatting>
  <conditionalFormatting sqref="B102">
    <cfRule type="cellIs" dxfId="23" priority="22" operator="greaterThan">
      <formula>60</formula>
    </cfRule>
  </conditionalFormatting>
  <conditionalFormatting sqref="B94">
    <cfRule type="cellIs" dxfId="22" priority="21" operator="greaterThan">
      <formula>60</formula>
    </cfRule>
  </conditionalFormatting>
  <conditionalFormatting sqref="B88">
    <cfRule type="cellIs" dxfId="21" priority="20" operator="greaterThan">
      <formula>60</formula>
    </cfRule>
  </conditionalFormatting>
  <conditionalFormatting sqref="B81">
    <cfRule type="cellIs" dxfId="20" priority="19" operator="greaterThan">
      <formula>60</formula>
    </cfRule>
  </conditionalFormatting>
  <conditionalFormatting sqref="B74">
    <cfRule type="cellIs" dxfId="19" priority="14" operator="greaterThan">
      <formula>60</formula>
    </cfRule>
  </conditionalFormatting>
  <conditionalFormatting sqref="B67">
    <cfRule type="cellIs" dxfId="18" priority="13" operator="greaterThan">
      <formula>60</formula>
    </cfRule>
  </conditionalFormatting>
  <conditionalFormatting sqref="B60">
    <cfRule type="cellIs" dxfId="17" priority="12" operator="greaterThan">
      <formula>60</formula>
    </cfRule>
  </conditionalFormatting>
  <conditionalFormatting sqref="B54">
    <cfRule type="cellIs" dxfId="16" priority="11" operator="greaterThan">
      <formula>60</formula>
    </cfRule>
  </conditionalFormatting>
  <conditionalFormatting sqref="B48">
    <cfRule type="cellIs" dxfId="15" priority="10" operator="greaterThan">
      <formula>60</formula>
    </cfRule>
  </conditionalFormatting>
  <conditionalFormatting sqref="B42">
    <cfRule type="cellIs" dxfId="14" priority="9" operator="greaterThan">
      <formula>60</formula>
    </cfRule>
  </conditionalFormatting>
  <conditionalFormatting sqref="B35">
    <cfRule type="cellIs" dxfId="13" priority="8" operator="greaterThan">
      <formula>60</formula>
    </cfRule>
  </conditionalFormatting>
  <conditionalFormatting sqref="B29">
    <cfRule type="cellIs" dxfId="12" priority="6" operator="greaterThan">
      <formula>60</formula>
    </cfRule>
  </conditionalFormatting>
  <conditionalFormatting sqref="B23">
    <cfRule type="cellIs" dxfId="11" priority="5" operator="greaterThan">
      <formula>60</formula>
    </cfRule>
  </conditionalFormatting>
  <conditionalFormatting sqref="B17">
    <cfRule type="cellIs" dxfId="10" priority="4" operator="greaterThan">
      <formula>60</formula>
    </cfRule>
  </conditionalFormatting>
  <conditionalFormatting sqref="B11">
    <cfRule type="cellIs" dxfId="9" priority="3" operator="greaterThan">
      <formula>60</formula>
    </cfRule>
  </conditionalFormatting>
  <conditionalFormatting sqref="B5">
    <cfRule type="cellIs" dxfId="8"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6</v>
      </c>
      <c r="C2" s="164"/>
      <c r="D2" s="157" t="s">
        <v>16</v>
      </c>
      <c r="E2" s="158" t="s">
        <v>81</v>
      </c>
      <c r="F2" s="159" t="s">
        <v>45</v>
      </c>
      <c r="G2" s="46"/>
    </row>
    <row r="3" spans="1:7" s="47" customFormat="1" ht="30" customHeight="1" thickBot="1" x14ac:dyDescent="0.3">
      <c r="A3" s="78" t="s">
        <v>5</v>
      </c>
      <c r="B3" s="161" t="s">
        <v>39</v>
      </c>
      <c r="C3" s="160"/>
      <c r="D3" s="78" t="s">
        <v>14</v>
      </c>
      <c r="E3" s="244" t="s">
        <v>15</v>
      </c>
      <c r="F3" s="245"/>
      <c r="G3" s="46"/>
    </row>
    <row r="4" spans="1:7" s="52" customFormat="1" ht="108" customHeight="1" x14ac:dyDescent="0.3">
      <c r="A4" s="48" t="s">
        <v>117</v>
      </c>
      <c r="B4" s="49">
        <v>20</v>
      </c>
      <c r="C4" s="152" t="str">
        <f xml:space="preserve"> IF(B4="","",setValueToTime(B4))</f>
        <v>1h40min</v>
      </c>
      <c r="D4" s="165" t="s">
        <v>177</v>
      </c>
      <c r="E4" s="241" t="s">
        <v>178</v>
      </c>
      <c r="F4" s="234"/>
      <c r="G4" s="51"/>
    </row>
    <row r="5" spans="1:7" s="52" customFormat="1" ht="27" x14ac:dyDescent="0.3">
      <c r="A5" s="53" t="s">
        <v>110</v>
      </c>
      <c r="B5" s="54">
        <v>15</v>
      </c>
      <c r="C5" s="153" t="str">
        <f t="shared" ref="C5:C11" si="0" xml:space="preserve"> IF(B5="","",setValueToTime(B5))</f>
        <v>1h15min</v>
      </c>
      <c r="D5" s="166" t="s">
        <v>180</v>
      </c>
      <c r="E5" s="239"/>
      <c r="F5" s="240"/>
      <c r="G5" s="51"/>
    </row>
    <row r="6" spans="1:7" s="52" customFormat="1" ht="27" x14ac:dyDescent="0.3">
      <c r="A6" s="53" t="s">
        <v>89</v>
      </c>
      <c r="B6" s="54">
        <v>3</v>
      </c>
      <c r="C6" s="153" t="str">
        <f t="shared" si="0"/>
        <v>0h15min</v>
      </c>
      <c r="D6" s="166" t="s">
        <v>179</v>
      </c>
      <c r="E6" s="239"/>
      <c r="F6" s="240"/>
      <c r="G6" s="51"/>
    </row>
    <row r="7" spans="1:7" s="52" customFormat="1" x14ac:dyDescent="0.3">
      <c r="A7" s="53"/>
      <c r="B7" s="54"/>
      <c r="C7" s="153"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x14ac:dyDescent="0.3">
      <c r="A10" s="54"/>
      <c r="B10" s="54"/>
      <c r="C10" s="154" t="str">
        <f t="shared" si="0"/>
        <v/>
      </c>
      <c r="D10" s="55"/>
      <c r="E10" s="239"/>
      <c r="F10" s="240"/>
      <c r="G10" s="51"/>
    </row>
    <row r="11" spans="1:7" s="52" customFormat="1" ht="15" thickBot="1" x14ac:dyDescent="0.35">
      <c r="A11" s="56"/>
      <c r="B11" s="56"/>
      <c r="C11" s="155" t="str">
        <f t="shared" si="0"/>
        <v/>
      </c>
      <c r="D11" s="57"/>
      <c r="E11" s="237"/>
      <c r="F11" s="238"/>
      <c r="G11" s="51"/>
    </row>
    <row r="12" spans="1:7" s="52" customFormat="1" ht="15" thickBot="1" x14ac:dyDescent="0.35">
      <c r="A12" s="162" t="s">
        <v>28</v>
      </c>
      <c r="B12" s="83">
        <f>SUM(B4:B11)</f>
        <v>38</v>
      </c>
      <c r="C12" s="162" t="str">
        <f xml:space="preserve"> setValueToTime(B12)</f>
        <v>3h10min</v>
      </c>
      <c r="D12" s="121"/>
      <c r="E12" s="242"/>
      <c r="F12" s="243"/>
      <c r="G12" s="51"/>
    </row>
    <row r="13" spans="1:7" s="59" customFormat="1" ht="15" thickBot="1" x14ac:dyDescent="0.35">
      <c r="A13" s="77"/>
      <c r="B13" s="77"/>
      <c r="C13" s="77"/>
      <c r="D13" s="77"/>
      <c r="E13" s="77"/>
      <c r="F13" s="77"/>
      <c r="G13" s="58"/>
    </row>
    <row r="14" spans="1:7" s="47" customFormat="1" ht="30" customHeight="1" thickBot="1" x14ac:dyDescent="0.3">
      <c r="A14" s="156" t="s">
        <v>13</v>
      </c>
      <c r="B14" s="164">
        <v>5</v>
      </c>
      <c r="C14" s="164"/>
      <c r="D14" s="157" t="s">
        <v>16</v>
      </c>
      <c r="E14" s="158" t="s">
        <v>83</v>
      </c>
      <c r="F14" s="159" t="s">
        <v>44</v>
      </c>
      <c r="G14" s="46"/>
    </row>
    <row r="15" spans="1:7" s="47" customFormat="1" ht="30" customHeight="1" thickBot="1" x14ac:dyDescent="0.3">
      <c r="A15" s="78" t="s">
        <v>5</v>
      </c>
      <c r="B15" s="161" t="s">
        <v>39</v>
      </c>
      <c r="C15" s="160"/>
      <c r="D15" s="78" t="s">
        <v>14</v>
      </c>
      <c r="E15" s="244" t="s">
        <v>15</v>
      </c>
      <c r="F15" s="245"/>
      <c r="G15" s="46"/>
    </row>
    <row r="16" spans="1:7" s="52" customFormat="1" ht="40.5" x14ac:dyDescent="0.3">
      <c r="A16" s="48" t="s">
        <v>117</v>
      </c>
      <c r="B16" s="49">
        <v>33</v>
      </c>
      <c r="C16" s="152" t="str">
        <f xml:space="preserve"> IF(B16="","",setValueToTime(B16))</f>
        <v>2h45min</v>
      </c>
      <c r="D16" s="165" t="s">
        <v>174</v>
      </c>
      <c r="E16" s="246" t="s">
        <v>171</v>
      </c>
      <c r="F16" s="234"/>
      <c r="G16" s="51"/>
    </row>
    <row r="17" spans="1:7" s="52" customFormat="1" ht="27" x14ac:dyDescent="0.3">
      <c r="A17" s="53" t="s">
        <v>110</v>
      </c>
      <c r="B17" s="54">
        <v>4</v>
      </c>
      <c r="C17" s="153" t="str">
        <f t="shared" ref="C17:C23" si="1" xml:space="preserve"> IF(B17="","",setValueToTime(B17))</f>
        <v>0h20min</v>
      </c>
      <c r="D17" s="166" t="s">
        <v>175</v>
      </c>
      <c r="E17" s="239"/>
      <c r="F17" s="240"/>
      <c r="G17" s="51"/>
    </row>
    <row r="18" spans="1:7" s="52" customFormat="1" ht="27" x14ac:dyDescent="0.3">
      <c r="A18" s="53" t="s">
        <v>93</v>
      </c>
      <c r="B18" s="54">
        <v>1</v>
      </c>
      <c r="C18" s="153" t="str">
        <f t="shared" si="1"/>
        <v>0h5min</v>
      </c>
      <c r="D18" s="55" t="s">
        <v>173</v>
      </c>
      <c r="E18" s="239"/>
      <c r="F18" s="240"/>
      <c r="G18" s="51"/>
    </row>
    <row r="19" spans="1:7" s="52" customFormat="1" x14ac:dyDescent="0.3">
      <c r="A19" s="53"/>
      <c r="B19" s="54"/>
      <c r="C19" s="153" t="str">
        <f t="shared" si="1"/>
        <v/>
      </c>
      <c r="D19" s="55"/>
      <c r="E19" s="239"/>
      <c r="F19" s="240"/>
      <c r="G19" s="51"/>
    </row>
    <row r="20" spans="1:7" s="52" customFormat="1" x14ac:dyDescent="0.3">
      <c r="A20" s="54"/>
      <c r="B20" s="54"/>
      <c r="C20" s="154" t="str">
        <f t="shared" si="1"/>
        <v/>
      </c>
      <c r="D20" s="55"/>
      <c r="E20" s="239"/>
      <c r="F20" s="240"/>
      <c r="G20" s="51"/>
    </row>
    <row r="21" spans="1:7" s="52" customFormat="1" x14ac:dyDescent="0.3">
      <c r="A21" s="54"/>
      <c r="B21" s="54"/>
      <c r="C21" s="154" t="str">
        <f t="shared" si="1"/>
        <v/>
      </c>
      <c r="D21" s="55"/>
      <c r="E21" s="239"/>
      <c r="F21" s="240"/>
      <c r="G21" s="51"/>
    </row>
    <row r="22" spans="1:7" s="52" customFormat="1" x14ac:dyDescent="0.3">
      <c r="A22" s="54"/>
      <c r="B22" s="54"/>
      <c r="C22" s="154" t="str">
        <f t="shared" si="1"/>
        <v/>
      </c>
      <c r="D22" s="55"/>
      <c r="E22" s="239"/>
      <c r="F22" s="240"/>
      <c r="G22" s="51"/>
    </row>
    <row r="23" spans="1:7" s="52" customFormat="1" ht="15" thickBot="1" x14ac:dyDescent="0.35">
      <c r="A23" s="56"/>
      <c r="B23" s="56"/>
      <c r="C23" s="155" t="str">
        <f t="shared" si="1"/>
        <v/>
      </c>
      <c r="D23" s="57"/>
      <c r="E23" s="237"/>
      <c r="F23" s="238"/>
      <c r="G23" s="51"/>
    </row>
    <row r="24" spans="1:7" s="52" customFormat="1" ht="15" thickBot="1" x14ac:dyDescent="0.35">
      <c r="A24" s="162" t="s">
        <v>28</v>
      </c>
      <c r="B24" s="83">
        <f>SUM(B16:B23)</f>
        <v>38</v>
      </c>
      <c r="C24" s="162" t="str">
        <f xml:space="preserve"> setValueToTime(B24)</f>
        <v>3h10min</v>
      </c>
      <c r="D24" s="121"/>
      <c r="E24" s="242"/>
      <c r="F24" s="243"/>
      <c r="G24" s="51"/>
    </row>
    <row r="25" spans="1:7" s="59" customFormat="1" ht="15" thickBot="1" x14ac:dyDescent="0.35">
      <c r="A25" s="77"/>
      <c r="B25" s="77"/>
      <c r="C25" s="77"/>
      <c r="D25" s="77"/>
      <c r="E25" s="77"/>
      <c r="F25" s="77"/>
      <c r="G25" s="58"/>
    </row>
    <row r="26" spans="1:7" s="47" customFormat="1" ht="30" customHeight="1" thickBot="1" x14ac:dyDescent="0.3">
      <c r="A26" s="156" t="s">
        <v>13</v>
      </c>
      <c r="B26" s="164">
        <v>4</v>
      </c>
      <c r="C26" s="164"/>
      <c r="D26" s="157" t="s">
        <v>16</v>
      </c>
      <c r="E26" s="158" t="s">
        <v>83</v>
      </c>
      <c r="F26" s="159" t="s">
        <v>45</v>
      </c>
      <c r="G26" s="46"/>
    </row>
    <row r="27" spans="1:7" s="47" customFormat="1" ht="30" customHeight="1" thickBot="1" x14ac:dyDescent="0.3">
      <c r="A27" s="78" t="s">
        <v>5</v>
      </c>
      <c r="B27" s="161" t="s">
        <v>39</v>
      </c>
      <c r="C27" s="160"/>
      <c r="D27" s="78" t="s">
        <v>14</v>
      </c>
      <c r="E27" s="244" t="s">
        <v>15</v>
      </c>
      <c r="F27" s="245"/>
      <c r="G27" s="46"/>
    </row>
    <row r="28" spans="1:7" s="52" customFormat="1" ht="40.5" x14ac:dyDescent="0.3">
      <c r="A28" s="48" t="s">
        <v>102</v>
      </c>
      <c r="B28" s="49">
        <v>14</v>
      </c>
      <c r="C28" s="152" t="str">
        <f xml:space="preserve"> IF(B28="","",setValueToTime(B28))</f>
        <v>1h10min</v>
      </c>
      <c r="D28" s="165" t="s">
        <v>176</v>
      </c>
      <c r="E28" s="246" t="s">
        <v>167</v>
      </c>
      <c r="F28" s="234"/>
      <c r="G28" s="51"/>
    </row>
    <row r="29" spans="1:7" s="52" customFormat="1" ht="27" x14ac:dyDescent="0.3">
      <c r="A29" s="53" t="s">
        <v>110</v>
      </c>
      <c r="B29" s="54">
        <v>5</v>
      </c>
      <c r="C29" s="153" t="str">
        <f t="shared" ref="C29:C35" si="2" xml:space="preserve"> IF(B29="","",setValueToTime(B29))</f>
        <v>0h25min</v>
      </c>
      <c r="D29" s="166" t="s">
        <v>169</v>
      </c>
      <c r="E29" s="239"/>
      <c r="F29" s="240"/>
      <c r="G29" s="51"/>
    </row>
    <row r="30" spans="1:7" s="52" customFormat="1" ht="40.5" x14ac:dyDescent="0.3">
      <c r="A30" s="53" t="s">
        <v>117</v>
      </c>
      <c r="B30" s="54">
        <v>19</v>
      </c>
      <c r="C30" s="153" t="str">
        <f t="shared" si="2"/>
        <v>1h35min</v>
      </c>
      <c r="D30" s="166" t="s">
        <v>172</v>
      </c>
      <c r="E30" s="247" t="s">
        <v>170</v>
      </c>
      <c r="F30" s="240"/>
      <c r="G30" s="51"/>
    </row>
    <row r="31" spans="1:7" s="52" customFormat="1" x14ac:dyDescent="0.3">
      <c r="A31" s="53"/>
      <c r="B31" s="54"/>
      <c r="C31" s="153" t="str">
        <f t="shared" si="2"/>
        <v/>
      </c>
      <c r="D31" s="55"/>
      <c r="E31" s="239"/>
      <c r="F31" s="240"/>
      <c r="G31" s="51"/>
    </row>
    <row r="32" spans="1:7" s="52" customFormat="1" x14ac:dyDescent="0.3">
      <c r="A32" s="54"/>
      <c r="B32" s="54"/>
      <c r="C32" s="154" t="str">
        <f t="shared" si="2"/>
        <v/>
      </c>
      <c r="D32" s="55"/>
      <c r="E32" s="239"/>
      <c r="F32" s="240"/>
      <c r="G32" s="51"/>
    </row>
    <row r="33" spans="1:7" s="52" customFormat="1" x14ac:dyDescent="0.3">
      <c r="A33" s="54"/>
      <c r="B33" s="54"/>
      <c r="C33" s="154" t="str">
        <f t="shared" si="2"/>
        <v/>
      </c>
      <c r="D33" s="55"/>
      <c r="E33" s="239"/>
      <c r="F33" s="240"/>
      <c r="G33" s="51"/>
    </row>
    <row r="34" spans="1:7" s="52" customFormat="1" x14ac:dyDescent="0.3">
      <c r="A34" s="54"/>
      <c r="B34" s="54"/>
      <c r="C34" s="154" t="str">
        <f t="shared" si="2"/>
        <v/>
      </c>
      <c r="D34" s="55"/>
      <c r="E34" s="239"/>
      <c r="F34" s="240"/>
      <c r="G34" s="51"/>
    </row>
    <row r="35" spans="1:7" s="52" customFormat="1" ht="15" thickBot="1" x14ac:dyDescent="0.35">
      <c r="A35" s="56"/>
      <c r="B35" s="56"/>
      <c r="C35" s="155" t="str">
        <f t="shared" si="2"/>
        <v/>
      </c>
      <c r="D35" s="57"/>
      <c r="E35" s="237"/>
      <c r="F35" s="238"/>
      <c r="G35" s="51"/>
    </row>
    <row r="36" spans="1:7" s="52" customFormat="1" ht="15" thickBot="1" x14ac:dyDescent="0.35">
      <c r="A36" s="162" t="s">
        <v>28</v>
      </c>
      <c r="B36" s="83">
        <f>SUM(B28:B35)</f>
        <v>38</v>
      </c>
      <c r="C36" s="162" t="str">
        <f xml:space="preserve"> setValueToTime(B36)</f>
        <v>3h10min</v>
      </c>
      <c r="D36" s="121"/>
      <c r="E36" s="242"/>
      <c r="F36" s="243"/>
      <c r="G36" s="51"/>
    </row>
    <row r="37" spans="1:7" s="59" customFormat="1" ht="15" thickBot="1" x14ac:dyDescent="0.35">
      <c r="A37" s="77"/>
      <c r="B37" s="77"/>
      <c r="C37" s="77"/>
      <c r="D37" s="77"/>
      <c r="E37" s="77"/>
      <c r="F37" s="77"/>
      <c r="G37" s="58"/>
    </row>
    <row r="38" spans="1:7" s="47" customFormat="1" ht="30" customHeight="1" thickBot="1" x14ac:dyDescent="0.3">
      <c r="A38" s="156" t="s">
        <v>13</v>
      </c>
      <c r="B38" s="164">
        <v>3</v>
      </c>
      <c r="C38" s="164"/>
      <c r="D38" s="157" t="s">
        <v>16</v>
      </c>
      <c r="E38" s="158" t="s">
        <v>85</v>
      </c>
      <c r="F38" s="159" t="s">
        <v>44</v>
      </c>
      <c r="G38" s="46"/>
    </row>
    <row r="39" spans="1:7" s="47" customFormat="1" ht="30" customHeight="1" thickBot="1" x14ac:dyDescent="0.3">
      <c r="A39" s="78" t="s">
        <v>5</v>
      </c>
      <c r="B39" s="161" t="s">
        <v>39</v>
      </c>
      <c r="C39" s="160"/>
      <c r="D39" s="78" t="s">
        <v>14</v>
      </c>
      <c r="E39" s="244" t="s">
        <v>15</v>
      </c>
      <c r="F39" s="245"/>
      <c r="G39" s="46"/>
    </row>
    <row r="40" spans="1:7" s="52" customFormat="1" ht="27" x14ac:dyDescent="0.3">
      <c r="A40" s="48" t="s">
        <v>97</v>
      </c>
      <c r="B40" s="49">
        <v>18</v>
      </c>
      <c r="C40" s="152" t="str">
        <f xml:space="preserve"> IF(B40="","",setValueToTime(B40))</f>
        <v>1h30min</v>
      </c>
      <c r="D40" s="165" t="s">
        <v>162</v>
      </c>
      <c r="E40" s="233"/>
      <c r="F40" s="234"/>
      <c r="G40" s="51"/>
    </row>
    <row r="41" spans="1:7" s="52" customFormat="1" ht="54" x14ac:dyDescent="0.3">
      <c r="A41" s="53" t="s">
        <v>111</v>
      </c>
      <c r="B41" s="54">
        <v>6</v>
      </c>
      <c r="C41" s="153" t="str">
        <f t="shared" ref="C41:C47" si="3" xml:space="preserve"> IF(B41="","",setValueToTime(B41))</f>
        <v>0h30min</v>
      </c>
      <c r="D41" s="166" t="s">
        <v>163</v>
      </c>
      <c r="E41" s="247" t="s">
        <v>168</v>
      </c>
      <c r="F41" s="240"/>
      <c r="G41" s="51"/>
    </row>
    <row r="42" spans="1:7" s="52" customFormat="1" ht="40.5" x14ac:dyDescent="0.3">
      <c r="A42" s="53" t="s">
        <v>103</v>
      </c>
      <c r="B42" s="54">
        <v>4</v>
      </c>
      <c r="C42" s="153" t="str">
        <f t="shared" si="3"/>
        <v>0h20min</v>
      </c>
      <c r="D42" s="166" t="s">
        <v>164</v>
      </c>
      <c r="E42" s="239"/>
      <c r="F42" s="240"/>
      <c r="G42" s="51"/>
    </row>
    <row r="43" spans="1:7" s="52" customFormat="1" ht="40.5" x14ac:dyDescent="0.3">
      <c r="A43" s="53" t="s">
        <v>100</v>
      </c>
      <c r="B43" s="54">
        <v>10</v>
      </c>
      <c r="C43" s="153" t="str">
        <f t="shared" si="3"/>
        <v>0h50min</v>
      </c>
      <c r="D43" s="166" t="s">
        <v>166</v>
      </c>
      <c r="E43" s="239"/>
      <c r="F43" s="240"/>
      <c r="G43" s="51"/>
    </row>
    <row r="44" spans="1:7" s="52" customFormat="1" x14ac:dyDescent="0.3">
      <c r="A44" s="54"/>
      <c r="B44" s="54"/>
      <c r="C44" s="154" t="str">
        <f t="shared" si="3"/>
        <v/>
      </c>
      <c r="D44" s="55"/>
      <c r="E44" s="239"/>
      <c r="F44" s="240"/>
      <c r="G44" s="51"/>
    </row>
    <row r="45" spans="1:7" s="52" customFormat="1" x14ac:dyDescent="0.3">
      <c r="A45" s="54"/>
      <c r="B45" s="54"/>
      <c r="C45" s="154" t="str">
        <f t="shared" si="3"/>
        <v/>
      </c>
      <c r="D45" s="55"/>
      <c r="E45" s="239"/>
      <c r="F45" s="240"/>
      <c r="G45" s="51"/>
    </row>
    <row r="46" spans="1:7" s="52" customFormat="1" x14ac:dyDescent="0.3">
      <c r="A46" s="54"/>
      <c r="B46" s="54"/>
      <c r="C46" s="154" t="str">
        <f t="shared" si="3"/>
        <v/>
      </c>
      <c r="D46" s="55"/>
      <c r="E46" s="239"/>
      <c r="F46" s="240"/>
      <c r="G46" s="51"/>
    </row>
    <row r="47" spans="1:7" s="52" customFormat="1" ht="15" thickBot="1" x14ac:dyDescent="0.35">
      <c r="A47" s="56"/>
      <c r="B47" s="56"/>
      <c r="C47" s="155" t="str">
        <f t="shared" si="3"/>
        <v/>
      </c>
      <c r="D47" s="57"/>
      <c r="E47" s="237"/>
      <c r="F47" s="238"/>
      <c r="G47" s="51"/>
    </row>
    <row r="48" spans="1:7" s="52" customFormat="1" ht="15" thickBot="1" x14ac:dyDescent="0.35">
      <c r="A48" s="162" t="s">
        <v>28</v>
      </c>
      <c r="B48" s="83">
        <f>SUM(B40:B47)</f>
        <v>38</v>
      </c>
      <c r="C48" s="162" t="str">
        <f xml:space="preserve"> setValueToTime(B48)</f>
        <v>3h10min</v>
      </c>
      <c r="D48" s="121"/>
      <c r="E48" s="242"/>
      <c r="F48" s="243"/>
      <c r="G48" s="51"/>
    </row>
    <row r="49" spans="1:7" s="59" customFormat="1" ht="15" thickBot="1" x14ac:dyDescent="0.35">
      <c r="A49" s="77"/>
      <c r="B49" s="77"/>
      <c r="C49" s="77"/>
      <c r="D49" s="77"/>
      <c r="E49" s="77"/>
      <c r="F49" s="77"/>
      <c r="G49" s="58"/>
    </row>
    <row r="50" spans="1:7" s="47" customFormat="1" ht="30" customHeight="1" thickBot="1" x14ac:dyDescent="0.3">
      <c r="A50" s="156" t="s">
        <v>13</v>
      </c>
      <c r="B50" s="164">
        <v>2</v>
      </c>
      <c r="C50" s="164"/>
      <c r="D50" s="157" t="s">
        <v>16</v>
      </c>
      <c r="E50" s="158" t="s">
        <v>85</v>
      </c>
      <c r="F50" s="159" t="s">
        <v>45</v>
      </c>
      <c r="G50" s="46"/>
    </row>
    <row r="51" spans="1:7" s="47" customFormat="1" ht="30" customHeight="1" thickBot="1" x14ac:dyDescent="0.3">
      <c r="A51" s="78" t="s">
        <v>5</v>
      </c>
      <c r="B51" s="161" t="s">
        <v>39</v>
      </c>
      <c r="C51" s="160"/>
      <c r="D51" s="78" t="s">
        <v>14</v>
      </c>
      <c r="E51" s="244" t="s">
        <v>15</v>
      </c>
      <c r="F51" s="245"/>
      <c r="G51" s="46"/>
    </row>
    <row r="52" spans="1:7" s="52" customFormat="1" ht="27" x14ac:dyDescent="0.3">
      <c r="A52" s="48" t="s">
        <v>97</v>
      </c>
      <c r="B52" s="49">
        <v>48</v>
      </c>
      <c r="C52" s="152" t="str">
        <f xml:space="preserve"> IF(B52="","",setValueToTime(B52))</f>
        <v>4h</v>
      </c>
      <c r="D52" s="165" t="s">
        <v>161</v>
      </c>
      <c r="E52" s="233"/>
      <c r="F52" s="234"/>
      <c r="G52" s="51"/>
    </row>
    <row r="53" spans="1:7" s="52" customFormat="1" x14ac:dyDescent="0.3">
      <c r="A53" s="53"/>
      <c r="B53" s="54"/>
      <c r="C53" s="153" t="str">
        <f t="shared" ref="C53:C59" si="4" xml:space="preserve"> IF(B53="","",setValueToTime(B53))</f>
        <v/>
      </c>
      <c r="D53" s="55"/>
      <c r="E53" s="239"/>
      <c r="F53" s="240"/>
      <c r="G53" s="51"/>
    </row>
    <row r="54" spans="1:7" s="52" customFormat="1" x14ac:dyDescent="0.3">
      <c r="A54" s="53"/>
      <c r="B54" s="54"/>
      <c r="C54" s="153" t="str">
        <f t="shared" si="4"/>
        <v/>
      </c>
      <c r="D54" s="55"/>
      <c r="E54" s="239"/>
      <c r="F54" s="240"/>
      <c r="G54" s="51"/>
    </row>
    <row r="55" spans="1:7" s="52" customFormat="1" x14ac:dyDescent="0.3">
      <c r="A55" s="53"/>
      <c r="B55" s="54"/>
      <c r="C55" s="153" t="str">
        <f t="shared" si="4"/>
        <v/>
      </c>
      <c r="D55" s="55"/>
      <c r="E55" s="239"/>
      <c r="F55" s="240"/>
      <c r="G55" s="51"/>
    </row>
    <row r="56" spans="1:7" s="52" customFormat="1" x14ac:dyDescent="0.3">
      <c r="A56" s="54"/>
      <c r="B56" s="54"/>
      <c r="C56" s="154" t="str">
        <f t="shared" si="4"/>
        <v/>
      </c>
      <c r="D56" s="55"/>
      <c r="E56" s="239"/>
      <c r="F56" s="240"/>
      <c r="G56" s="51"/>
    </row>
    <row r="57" spans="1:7" s="52" customFormat="1" x14ac:dyDescent="0.3">
      <c r="A57" s="54"/>
      <c r="B57" s="54"/>
      <c r="C57" s="154" t="str">
        <f t="shared" si="4"/>
        <v/>
      </c>
      <c r="D57" s="55"/>
      <c r="E57" s="239"/>
      <c r="F57" s="240"/>
      <c r="G57" s="51"/>
    </row>
    <row r="58" spans="1:7" s="52" customFormat="1" x14ac:dyDescent="0.3">
      <c r="A58" s="54"/>
      <c r="B58" s="54"/>
      <c r="C58" s="154" t="str">
        <f t="shared" si="4"/>
        <v/>
      </c>
      <c r="D58" s="55"/>
      <c r="E58" s="239"/>
      <c r="F58" s="240"/>
      <c r="G58" s="51"/>
    </row>
    <row r="59" spans="1:7" s="52" customFormat="1" ht="15" thickBot="1" x14ac:dyDescent="0.35">
      <c r="A59" s="56"/>
      <c r="B59" s="56"/>
      <c r="C59" s="155" t="str">
        <f t="shared" si="4"/>
        <v/>
      </c>
      <c r="D59" s="57"/>
      <c r="E59" s="237"/>
      <c r="F59" s="238"/>
      <c r="G59" s="51"/>
    </row>
    <row r="60" spans="1:7" s="52" customFormat="1" ht="15" thickBot="1" x14ac:dyDescent="0.35">
      <c r="A60" s="162" t="s">
        <v>28</v>
      </c>
      <c r="B60" s="83">
        <f>SUM(B52:B59)</f>
        <v>48</v>
      </c>
      <c r="C60" s="162" t="str">
        <f xml:space="preserve"> setValueToTime(B60)</f>
        <v>4h</v>
      </c>
      <c r="D60" s="121"/>
      <c r="E60" s="242"/>
      <c r="F60" s="243"/>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v>
      </c>
      <c r="C62" s="164"/>
      <c r="D62" s="157" t="s">
        <v>16</v>
      </c>
      <c r="E62" s="158" t="s">
        <v>86</v>
      </c>
      <c r="F62" s="159" t="s">
        <v>44</v>
      </c>
      <c r="G62" s="46"/>
    </row>
    <row r="63" spans="1:7" s="47" customFormat="1" ht="30" customHeight="1" thickBot="1" x14ac:dyDescent="0.3">
      <c r="A63" s="78" t="s">
        <v>5</v>
      </c>
      <c r="B63" s="161" t="s">
        <v>39</v>
      </c>
      <c r="C63" s="160"/>
      <c r="D63" s="78" t="s">
        <v>14</v>
      </c>
      <c r="E63" s="244" t="s">
        <v>15</v>
      </c>
      <c r="F63" s="245"/>
      <c r="G63" s="46"/>
    </row>
    <row r="64" spans="1:7" s="52" customFormat="1" ht="27" x14ac:dyDescent="0.3">
      <c r="A64" s="48" t="s">
        <v>89</v>
      </c>
      <c r="B64" s="49">
        <v>9</v>
      </c>
      <c r="C64" s="152" t="str">
        <f xml:space="preserve"> IF(B64="","",setValueToTime(B64))</f>
        <v>0h45min</v>
      </c>
      <c r="D64" s="165" t="s">
        <v>88</v>
      </c>
      <c r="E64" s="233"/>
      <c r="F64" s="234"/>
      <c r="G64" s="51"/>
    </row>
    <row r="65" spans="1:7" s="52" customFormat="1" ht="27" x14ac:dyDescent="0.3">
      <c r="A65" s="53" t="s">
        <v>43</v>
      </c>
      <c r="B65" s="54">
        <v>19</v>
      </c>
      <c r="C65" s="153" t="str">
        <f t="shared" ref="C65:C71" si="5" xml:space="preserve"> IF(B65="","",setValueToTime(B65))</f>
        <v>1h35min</v>
      </c>
      <c r="D65" s="166" t="s">
        <v>90</v>
      </c>
      <c r="E65" s="239"/>
      <c r="F65" s="240"/>
      <c r="G65" s="51"/>
    </row>
    <row r="66" spans="1:7" s="52" customFormat="1" x14ac:dyDescent="0.3">
      <c r="A66" s="53" t="s">
        <v>42</v>
      </c>
      <c r="B66" s="54">
        <v>7</v>
      </c>
      <c r="C66" s="153" t="str">
        <f t="shared" si="5"/>
        <v>0h35min</v>
      </c>
      <c r="D66" s="166" t="s">
        <v>92</v>
      </c>
      <c r="E66" s="239"/>
      <c r="F66" s="240"/>
      <c r="G66" s="51"/>
    </row>
    <row r="67" spans="1:7" s="52" customFormat="1" x14ac:dyDescent="0.3">
      <c r="A67" s="53" t="s">
        <v>87</v>
      </c>
      <c r="B67" s="54">
        <v>1</v>
      </c>
      <c r="C67" s="153" t="str">
        <f t="shared" si="5"/>
        <v>0h5min</v>
      </c>
      <c r="D67" s="166" t="s">
        <v>91</v>
      </c>
      <c r="E67" s="239"/>
      <c r="F67" s="240"/>
      <c r="G67" s="51"/>
    </row>
    <row r="68" spans="1:7" s="52" customFormat="1" x14ac:dyDescent="0.3">
      <c r="A68" s="54"/>
      <c r="B68" s="54"/>
      <c r="C68" s="154" t="str">
        <f t="shared" si="5"/>
        <v/>
      </c>
      <c r="D68" s="55"/>
      <c r="E68" s="239"/>
      <c r="F68" s="240"/>
      <c r="G68" s="51"/>
    </row>
    <row r="69" spans="1:7" s="52" customFormat="1" x14ac:dyDescent="0.3">
      <c r="A69" s="54"/>
      <c r="B69" s="54"/>
      <c r="C69" s="154" t="str">
        <f t="shared" si="5"/>
        <v/>
      </c>
      <c r="D69" s="55"/>
      <c r="E69" s="239"/>
      <c r="F69" s="240"/>
      <c r="G69" s="51"/>
    </row>
    <row r="70" spans="1:7" s="52" customFormat="1" x14ac:dyDescent="0.3">
      <c r="A70" s="54"/>
      <c r="B70" s="54"/>
      <c r="C70" s="154" t="str">
        <f t="shared" si="5"/>
        <v/>
      </c>
      <c r="D70" s="55"/>
      <c r="E70" s="239"/>
      <c r="F70" s="240"/>
      <c r="G70" s="51"/>
    </row>
    <row r="71" spans="1:7" s="52" customFormat="1" ht="15" thickBot="1" x14ac:dyDescent="0.35">
      <c r="A71" s="56"/>
      <c r="B71" s="56"/>
      <c r="C71" s="155" t="str">
        <f t="shared" si="5"/>
        <v/>
      </c>
      <c r="D71" s="57"/>
      <c r="E71" s="237"/>
      <c r="F71" s="238"/>
      <c r="G71" s="51"/>
    </row>
    <row r="72" spans="1:7" s="52" customFormat="1" ht="15" thickBot="1" x14ac:dyDescent="0.35">
      <c r="A72" s="162" t="s">
        <v>28</v>
      </c>
      <c r="B72" s="83">
        <f>SUM(B64:B71)</f>
        <v>36</v>
      </c>
      <c r="C72" s="162" t="str">
        <f xml:space="preserve"> setValueToTime(B72)</f>
        <v>3h</v>
      </c>
      <c r="D72" s="121"/>
      <c r="E72" s="242"/>
      <c r="F72" s="243"/>
      <c r="G72" s="51"/>
    </row>
    <row r="73" spans="1:7" s="59" customFormat="1" x14ac:dyDescent="0.3">
      <c r="A73" s="77"/>
      <c r="B73" s="77"/>
      <c r="C73" s="77"/>
      <c r="D73" s="77"/>
      <c r="E73" s="77"/>
      <c r="F73" s="77"/>
      <c r="G73" s="58"/>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3:F63"/>
    <mergeCell ref="E64:F64"/>
    <mergeCell ref="E65:F65"/>
    <mergeCell ref="E66:F66"/>
    <mergeCell ref="E67:F67"/>
    <mergeCell ref="E68:F6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8"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28" r:id="rId1"/>
    <hyperlink ref="E41" r:id="rId2"/>
    <hyperlink ref="E30" r:id="rId3"/>
    <hyperlink ref="E16" r:id="rId4"/>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90"/>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13</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33</v>
      </c>
      <c r="F14" s="205"/>
      <c r="G14" s="205"/>
      <c r="H14" s="205"/>
      <c r="I14" s="104"/>
      <c r="J14" s="104"/>
      <c r="K14" s="206" t="s">
        <v>23</v>
      </c>
      <c r="L14" s="206"/>
      <c r="M14" s="206"/>
      <c r="N14" s="206"/>
      <c r="O14" s="129"/>
      <c r="P14" s="129"/>
      <c r="Q14" s="205" t="s">
        <v>34</v>
      </c>
      <c r="R14" s="205"/>
      <c r="S14" s="205"/>
      <c r="T14" s="205"/>
      <c r="U14" s="104"/>
      <c r="V14" s="104"/>
      <c r="W14" s="206" t="s">
        <v>24</v>
      </c>
      <c r="X14" s="206"/>
      <c r="Y14" s="206"/>
      <c r="Z14" s="206"/>
      <c r="AA14" s="129"/>
      <c r="AB14" s="129"/>
      <c r="AC14" s="205" t="s">
        <v>35</v>
      </c>
      <c r="AD14" s="205"/>
      <c r="AE14" s="205"/>
      <c r="AF14" s="205"/>
      <c r="AG14" s="104"/>
      <c r="AH14" s="104"/>
      <c r="AI14" s="206" t="s">
        <v>25</v>
      </c>
      <c r="AJ14" s="206"/>
      <c r="AK14" s="206"/>
      <c r="AL14" s="206"/>
      <c r="AM14" s="129"/>
      <c r="AN14" s="129"/>
      <c r="AO14" s="205" t="s">
        <v>36</v>
      </c>
      <c r="AP14" s="205"/>
      <c r="AQ14" s="205"/>
      <c r="AR14" s="205"/>
      <c r="AS14" s="104"/>
      <c r="AT14" s="104"/>
      <c r="AU14" s="206" t="s">
        <v>26</v>
      </c>
      <c r="AV14" s="206"/>
      <c r="AW14" s="206"/>
      <c r="AX14" s="206"/>
      <c r="AY14" s="129"/>
      <c r="AZ14" s="129"/>
      <c r="BA14" s="205" t="s">
        <v>37</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1" t="s">
        <v>15</v>
      </c>
      <c r="F2" s="232"/>
      <c r="G2" s="46"/>
    </row>
    <row r="3" spans="1:7" s="52" customFormat="1" x14ac:dyDescent="0.3">
      <c r="A3" s="48"/>
      <c r="B3" s="49"/>
      <c r="C3" s="152" t="str">
        <f xml:space="preserve"> IF(B3="","",setValueToTime(B3))</f>
        <v/>
      </c>
      <c r="D3" s="50"/>
      <c r="E3" s="233"/>
      <c r="F3" s="234"/>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37"/>
      <c r="F10" s="238"/>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4" t="s">
        <v>15</v>
      </c>
      <c r="F2" s="245"/>
      <c r="G2" s="46"/>
    </row>
    <row r="3" spans="1:7" s="52" customFormat="1" x14ac:dyDescent="0.3">
      <c r="A3" s="48"/>
      <c r="B3" s="49"/>
      <c r="C3" s="152" t="str">
        <f xml:space="preserve"> IF(B3="","",setValueToTime(B3))</f>
        <v/>
      </c>
      <c r="D3" s="50"/>
      <c r="E3" s="233"/>
      <c r="F3" s="234"/>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37"/>
      <c r="F10" s="238"/>
      <c r="G10" s="51"/>
    </row>
    <row r="11" spans="1:7" s="52" customFormat="1" ht="15" thickBot="1" x14ac:dyDescent="0.35">
      <c r="A11" s="162" t="s">
        <v>28</v>
      </c>
      <c r="B11" s="83">
        <f>SUM(B3:B10)</f>
        <v>0</v>
      </c>
      <c r="C11" s="162" t="str">
        <f xml:space="preserve"> setValueToTime(B11)</f>
        <v>0h</v>
      </c>
      <c r="D11" s="121"/>
      <c r="E11" s="242"/>
      <c r="F11" s="24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2021-05-03T09:21:39Z</dcterms:modified>
</cp:coreProperties>
</file>