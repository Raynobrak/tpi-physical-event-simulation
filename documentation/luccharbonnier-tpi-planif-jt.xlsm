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G:\data\PROJETS\projets-ETML\luccharbonnier-TPI-2021\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C12" i="12"/>
  <c r="C24" i="12"/>
  <c r="B36" i="12" l="1"/>
  <c r="C35" i="12"/>
  <c r="C34" i="12"/>
  <c r="C33" i="12"/>
  <c r="C32" i="12"/>
  <c r="C31" i="12"/>
  <c r="C30" i="12"/>
  <c r="C29" i="12"/>
  <c r="C28" i="12"/>
  <c r="C36" i="12"/>
  <c r="B48" i="12" l="1"/>
  <c r="C47" i="12"/>
  <c r="C46" i="12"/>
  <c r="C45" i="12"/>
  <c r="C44" i="12"/>
  <c r="B60" i="12"/>
  <c r="C59" i="12"/>
  <c r="C58" i="12"/>
  <c r="C57" i="12"/>
  <c r="C56" i="12"/>
  <c r="C55" i="12"/>
  <c r="C54" i="12"/>
  <c r="C53" i="12"/>
  <c r="C52" i="12"/>
  <c r="C60" i="12"/>
  <c r="C42" i="12"/>
  <c r="C41" i="12"/>
  <c r="C40" i="12"/>
  <c r="C48" i="12"/>
  <c r="C43" i="12"/>
  <c r="B72" i="12" l="1"/>
  <c r="C71" i="12"/>
  <c r="C70" i="12"/>
  <c r="C69" i="12"/>
  <c r="C68" i="12"/>
  <c r="B84" i="12"/>
  <c r="C83" i="12"/>
  <c r="C82" i="12"/>
  <c r="C81" i="12"/>
  <c r="C80" i="12"/>
  <c r="C79" i="12"/>
  <c r="C78" i="12"/>
  <c r="C77" i="12"/>
  <c r="B96" i="12"/>
  <c r="C95" i="12"/>
  <c r="C94" i="12"/>
  <c r="C93" i="12"/>
  <c r="C92" i="12"/>
  <c r="C91" i="12"/>
  <c r="C90" i="12"/>
  <c r="C89" i="12"/>
  <c r="C67" i="12"/>
  <c r="C72" i="12"/>
  <c r="C76" i="12"/>
  <c r="C84" i="12"/>
  <c r="C88" i="12"/>
  <c r="C96" i="12"/>
  <c r="C66" i="12"/>
  <c r="C65" i="12"/>
  <c r="C64" i="12"/>
  <c r="B108" i="12" l="1"/>
  <c r="C107" i="12"/>
  <c r="C106" i="12"/>
  <c r="C105" i="12"/>
  <c r="C104" i="12"/>
  <c r="C103" i="12"/>
  <c r="C102" i="12"/>
  <c r="B120" i="12"/>
  <c r="C119" i="12"/>
  <c r="C118" i="12"/>
  <c r="C117" i="12"/>
  <c r="C116" i="12"/>
  <c r="C112" i="12"/>
  <c r="C120" i="12"/>
  <c r="C114" i="12"/>
  <c r="C113" i="12"/>
  <c r="C101" i="12"/>
  <c r="C100" i="12"/>
  <c r="C108" i="12"/>
  <c r="C115" i="12"/>
  <c r="B132" i="12" l="1"/>
  <c r="C131" i="12"/>
  <c r="C130" i="12"/>
  <c r="C129" i="12"/>
  <c r="C128" i="12"/>
  <c r="C124" i="12"/>
  <c r="C132" i="12"/>
  <c r="C126" i="12"/>
  <c r="C127" i="12"/>
  <c r="C125" i="12"/>
  <c r="B144" i="12" l="1"/>
  <c r="C143" i="12"/>
  <c r="C142" i="12"/>
  <c r="C141" i="12"/>
  <c r="C140" i="12"/>
  <c r="C139" i="12"/>
  <c r="B156" i="12"/>
  <c r="C155" i="12"/>
  <c r="C154" i="12"/>
  <c r="C153" i="12"/>
  <c r="C152" i="12"/>
  <c r="C151" i="12"/>
  <c r="C138" i="12"/>
  <c r="C137" i="12"/>
  <c r="C144" i="12"/>
  <c r="C150" i="12"/>
  <c r="C136" i="12"/>
  <c r="C148" i="12"/>
  <c r="C156" i="12"/>
  <c r="C149" i="12"/>
  <c r="B168" i="12" l="1"/>
  <c r="C167" i="12"/>
  <c r="C166" i="12"/>
  <c r="C165" i="12"/>
  <c r="C164" i="12"/>
  <c r="B180" i="12"/>
  <c r="C179" i="12"/>
  <c r="C178" i="12"/>
  <c r="C177" i="12"/>
  <c r="C176" i="12"/>
  <c r="C175" i="12"/>
  <c r="C174" i="12"/>
  <c r="C173" i="12"/>
  <c r="E95" i="1"/>
  <c r="C163" i="12"/>
  <c r="C160" i="12"/>
  <c r="C162" i="12"/>
  <c r="C180" i="12"/>
  <c r="C161" i="12"/>
  <c r="C168" i="12"/>
  <c r="C71" i="10"/>
  <c r="C172" i="12"/>
  <c r="C155" i="10"/>
  <c r="B192" i="12" l="1"/>
  <c r="C191" i="12"/>
  <c r="C190" i="12"/>
  <c r="C189" i="12"/>
  <c r="C188"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67" i="10"/>
  <c r="C168" i="10"/>
  <c r="C59" i="10"/>
  <c r="C112" i="10"/>
  <c r="C94" i="10"/>
  <c r="C41" i="10"/>
  <c r="C122" i="10"/>
  <c r="C141" i="10"/>
  <c r="C130" i="10"/>
  <c r="C186" i="12"/>
  <c r="C135" i="10"/>
  <c r="C23" i="10"/>
  <c r="C117" i="10"/>
  <c r="C129" i="10"/>
  <c r="C11" i="10"/>
  <c r="C54" i="10"/>
  <c r="C86" i="10"/>
  <c r="C99" i="10"/>
  <c r="C128" i="10"/>
  <c r="C153" i="10"/>
  <c r="C134" i="10"/>
  <c r="C167" i="10"/>
  <c r="C65" i="10"/>
  <c r="C34" i="10"/>
  <c r="C5" i="10"/>
  <c r="C102" i="10"/>
  <c r="C166" i="10"/>
  <c r="C152" i="10"/>
  <c r="C184" i="12"/>
  <c r="C147" i="10"/>
  <c r="C148" i="10"/>
  <c r="C162" i="10"/>
  <c r="C74" i="10"/>
  <c r="C80" i="10"/>
  <c r="C9" i="10"/>
  <c r="C72" i="10"/>
  <c r="C17" i="10"/>
  <c r="C123" i="10"/>
  <c r="C113" i="10"/>
  <c r="C22" i="10"/>
  <c r="C4" i="10"/>
  <c r="C52" i="10"/>
  <c r="C79" i="10"/>
  <c r="C98" i="10"/>
  <c r="C10" i="10"/>
  <c r="C160" i="10"/>
  <c r="C81" i="10"/>
  <c r="C136" i="10"/>
  <c r="C108" i="10"/>
  <c r="C27" i="10"/>
  <c r="C101" i="10"/>
  <c r="C42" i="10"/>
  <c r="C85" i="10"/>
  <c r="C185" i="12"/>
  <c r="C92" i="10"/>
  <c r="C107" i="10"/>
  <c r="C154" i="10"/>
  <c r="C118" i="10"/>
  <c r="C58" i="10"/>
  <c r="C142" i="10"/>
  <c r="C161" i="10"/>
  <c r="C33" i="10"/>
  <c r="C124" i="10"/>
  <c r="C35" i="10"/>
  <c r="C146" i="10"/>
  <c r="C187" i="12"/>
  <c r="C46" i="10"/>
  <c r="C21" i="10"/>
  <c r="C87" i="10"/>
  <c r="C53" i="10"/>
  <c r="C29" i="10"/>
  <c r="C28" i="10"/>
  <c r="C40" i="10"/>
  <c r="C60" i="10"/>
  <c r="C78" i="10"/>
  <c r="C106" i="10"/>
  <c r="C140" i="10"/>
  <c r="C156" i="10"/>
  <c r="C192" i="12"/>
  <c r="C15" i="10"/>
  <c r="C66" i="10"/>
  <c r="C93" i="10"/>
  <c r="C16" i="10"/>
  <c r="C73" i="10"/>
  <c r="C39" i="10"/>
  <c r="C88" i="10"/>
  <c r="C64" i="10"/>
  <c r="C47" i="10"/>
  <c r="C48" i="10"/>
  <c r="C100" i="10"/>
  <c r="C10" i="15" l="1"/>
  <c r="C9" i="15"/>
  <c r="C8" i="15"/>
  <c r="C7" i="15"/>
  <c r="C6" i="15"/>
  <c r="C5" i="15"/>
  <c r="C4" i="15"/>
  <c r="C3" i="15"/>
  <c r="B11" i="15"/>
  <c r="C10" i="16"/>
  <c r="C9" i="16"/>
  <c r="C8" i="16"/>
  <c r="C7" i="16"/>
  <c r="C6" i="16"/>
  <c r="C5" i="16"/>
  <c r="C4" i="16"/>
  <c r="C3" i="16"/>
  <c r="B11" i="16"/>
  <c r="D67" i="1"/>
  <c r="D52" i="1"/>
  <c r="C11" i="15"/>
  <c r="D81" i="1"/>
  <c r="D65" i="1"/>
  <c r="D49" i="1"/>
  <c r="D33" i="1"/>
  <c r="D17" i="1"/>
  <c r="D82" i="1"/>
  <c r="D66" i="1"/>
  <c r="D50" i="1"/>
  <c r="D34" i="1"/>
  <c r="D18" i="1"/>
  <c r="C11" i="16"/>
  <c r="D79" i="1"/>
  <c r="D63" i="1"/>
  <c r="D47" i="1"/>
  <c r="D31" i="1"/>
  <c r="D15" i="1"/>
  <c r="D80" i="1"/>
  <c r="D64" i="1"/>
  <c r="D48" i="1"/>
  <c r="D32" i="1"/>
  <c r="D16" i="1"/>
  <c r="D75" i="1"/>
  <c r="D59" i="1"/>
  <c r="D27" i="1"/>
  <c r="D92" i="1"/>
  <c r="D60" i="1"/>
  <c r="D28" i="1"/>
  <c r="D93" i="1"/>
  <c r="D77" i="1"/>
  <c r="D61" i="1"/>
  <c r="D45" i="1"/>
  <c r="D29" i="1"/>
  <c r="D94" i="1"/>
  <c r="D78" i="1"/>
  <c r="D62" i="1"/>
  <c r="D46" i="1"/>
  <c r="D30" i="1"/>
  <c r="D43" i="1"/>
  <c r="D76" i="1"/>
  <c r="D44" i="1"/>
  <c r="D91" i="1"/>
  <c r="D89" i="1"/>
  <c r="D73" i="1"/>
  <c r="D57" i="1"/>
  <c r="D41" i="1"/>
  <c r="D25" i="1"/>
  <c r="D90" i="1"/>
  <c r="D74" i="1"/>
  <c r="D58" i="1"/>
  <c r="D42" i="1"/>
  <c r="D26" i="1"/>
  <c r="D38" i="1"/>
  <c r="D83" i="1"/>
  <c r="D35" i="1"/>
  <c r="D84" i="1"/>
  <c r="D36" i="1"/>
  <c r="D87" i="1"/>
  <c r="D71" i="1"/>
  <c r="D55" i="1"/>
  <c r="D39" i="1"/>
  <c r="D23" i="1"/>
  <c r="D88" i="1"/>
  <c r="D72" i="1"/>
  <c r="D56" i="1"/>
  <c r="D40" i="1"/>
  <c r="D24" i="1"/>
  <c r="D85" i="1"/>
  <c r="D69" i="1"/>
  <c r="D53" i="1"/>
  <c r="D37" i="1"/>
  <c r="D21" i="1"/>
  <c r="D86" i="1"/>
  <c r="D70" i="1"/>
  <c r="D54" i="1"/>
  <c r="D22" i="1"/>
  <c r="D51" i="1"/>
  <c r="D19" i="1"/>
  <c r="D68" i="1"/>
  <c r="D20"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<sst xmlns="http://schemas.openxmlformats.org/spreadsheetml/2006/main" count="1070" uniqueCount="207">
  <si>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</si>
  <si>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</si>
  <si>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</si>
  <si>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</si>
  <si>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</si>
  <si>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</si>
  <si>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</si>
  <si>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</si>
  <si>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</si>
  <si>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</si>
  <si>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</si>
  <si>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</si>
  <si>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</si>
  <si>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</si>
  <si>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</si>
  <si>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</si>
  <si>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</si>
  <si>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</si>
  <si>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</si>
  <si>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</si>
  <si>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</si>
  <si>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</si>
  <si>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</si>
  <si>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</si>
  <si>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</si>
  <si>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</si>
  <si>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</si>
  <si>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</si>
  <si>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</si>
  <si>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</si>
  <si>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</si>
  <si>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</si>
  <si>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</si>
  <si>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</si>
  <si>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</si>
  <si>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</si>
  <si>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</si>
  <si>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</si>
  <si>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</si>
  <si>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</si>
  <si>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</si>
  <si>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</si>
  <si>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</si>
  <si>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</si>
  <si>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</si>
  <si>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</si>
  <si>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</si>
  <si>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</si>
  <si>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</si>
  <si>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</si>
  <si>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</si>
  <si>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</si>
  <si>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</si>
  <si>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</si>
  <si>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</si>
  <si>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</si>
  <si>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</si>
  <si>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</si>
  <si>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</si>
  <si>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</si>
  <si>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</si>
  <si>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</si>
  <si>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</si>
  <si>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</si>
  <si>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</si>
  <si>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</si>
  <si>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</si>
  <si>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</si>
  <si>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</si>
  <si>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</si>
  <si>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</si>
  <si>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</si>
  <si>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</si>
  <si>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</si>
  <si>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</si>
  <si>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</si>
  <si>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</si>
  <si>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</si>
  <si>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</si>
  <si>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</si>
  <si>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</si>
  <si>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</si>
  <si>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</si>
  <si>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</si>
  <si>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</si>
  <si>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</si>
  <si>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</si>
  <si>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</si>
  <si>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</si>
  <si>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</si>
  <si>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</si>
  <si>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</si>
  <si>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</si>
  <si>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</si>
  <si>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</si>
  <si>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</si>
  <si>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</si>
  <si>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</si>
  <si>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</si>
  <si>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</si>
  <si>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</si>
  <si>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</si>
  <si>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</si>
  <si>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</si>
  <si>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</si>
  <si>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</si>
  <si>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</si>
  <si>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</si>
  <si>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</si>
  <si>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</si>
  <si>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</si>
  <si>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</si>
  <si>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</si>
  <si>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</si>
  <si>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</si>
  <si>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</si>
  <si>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</si>
  <si>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</si>
  <si>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</si>
  <si>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</si>
  <si>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</si>
  <si>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</si>
  <si>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</si>
  <si>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</si>
  <si>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</si>
  <si>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</si>
  <si>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</si>
  <si>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</si>
  <si>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</si>
  <si>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</si>
  <si>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</si>
  <si>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</si>
  <si>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</si>
  <si>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</si>
  <si>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</si>
  <si>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</si>
  <si>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</si>
  <si>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</si>
  <si>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</si>
  <si>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</si>
  <si>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</si>
  <si>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</si>
  <si>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</si>
  <si>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</si>
  <si>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</si>
  <si>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</si>
  <si>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</si>
  <si>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</si>
  <si>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</si>
  <si>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</si>
  <si>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</si>
  <si>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</si>
  <si>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</si>
  <si>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</si>
  <si>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</si>
  <si>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</si>
  <si>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</si>
  <si>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</si>
  <si>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</si>
  <si>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</si>
  <si>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</si>
  <si>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</si>
  <si>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</si>
  <si>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</si>
  <si>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</si>
  <si>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</si>
  <si>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</si>
  <si>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</si>
  <si>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</si>
  <si>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</si>
  <si>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</si>
  <si>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</si>
  <si>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</si>
  <si>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</si>
  <si>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</si>
  <si>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</si>
  <si>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</si>
  <si>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</si>
  <si>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</si>
  <si>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</si>
  <si>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</si>
  <si>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</si>
  <si>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</si>
  <si>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</si>
  <si>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</si>
  <si>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</si>
  <si>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</si>
  <si>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</si>
  <si>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</si>
  <si>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</si>
  <si>
    <t>Absence pour cours 2 phases</t>
  </si>
  <si>
    <t>Envoi d'un mail (sans rapport avec le projet) à mon prof de classe</t>
  </si>
  <si>
    <t xml:space="preserve">Continué et terminé l'analyse du déploiement de l'application. Le choix de l'utilisation d'un installateur a été expliqué. </t>
  </si>
  <si>
    <t>Conçu le modèle pour la documentation des tests et conçus quelques tests qui devront être effectués une fois le développement terminé.</t>
  </si>
  <si>
    <t>Mis en place l'environnement pour pouvoir commencer le développement : créer la solution visual studio, ajouter les bibliothèques qui seront utilisées, etc…</t>
  </si>
  <si>
    <t>32h20min</t>
  </si>
  <si>
    <t>- 57h40min</t>
  </si>
  <si>
    <t>Implémenté une classe Label permettant d'afficher du texte à l'écran ainsi qu'une classe Button permettant de détecter un clic sur un label. Ces deux widgets vont permettre la création du menu principal.</t>
  </si>
  <si>
    <t>Terminé le menu principal. Il comporte un titre (un Label) et 3 boutons (voir screenshot ci-joint), exactement comme prévu dans la maquette. La seule différence est que la fenêtre n'est pas parfaitement carrée.</t>
  </si>
  <si>
    <t>Commencé à expliquer comment mettre en place l'environnement. Il reste à expliquer comment la SFML est liée au projet.</t>
  </si>
  <si>
    <t>Terminé la navigation entre les 3 fenêtres (menu principal et les deux expériences. Quand on ouvre une expérience, le menu principal se ferme et lorsque on ferme l'expérience le menu principal réappraît. Ce n'est pas forcément très intuitif mais c'est un système très simple.</t>
  </si>
  <si>
    <t>Créé un système permettant de créer des circles que l'on peut drag&amp;drop. C'est une classe nommée DraggableCircle.</t>
  </si>
  <si>
    <t>Commencé à implémenter le lanceur de billes. Il est possible de positionner le projectile et de l'orienter à l'aide du petit carré servant de "catapulte". L'angle et la vitesse initiale sont calculés et affichés en haut à gauche de la fenêtre.</t>
  </si>
  <si>
    <t>Terminé d'implémenter le lanceur de projectiles. On peut changer tous les paramètres du projectile et les visualiser.</t>
  </si>
  <si>
    <t>Implémenté les collisions avec les bords de la fenêtre.</t>
  </si>
  <si>
    <t xml:space="preserve">Les billes peuvent maintenant afficher une "trace" derrière elle (permet de voir par où elles sont passées). </t>
  </si>
  <si>
    <t>Résolu un bug avec les collisions entre les billes et la fenêtre. Les billes n'étaient pas repositionnées et restaient parfois bloquées entre l'exterieur et l'intérieur. Cela arrivait surtout avec des billes de grande masse suite à des collisions avec des billes de masse inférieure.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</si>
</sst>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7.4200000762939453</c:v>
              </c:pt>
              <c:pt idx="1">
                <c:v>1</c:v>
              </c:pt>
              <c:pt idx="2">
                <c:v>0.17000000178813934</c:v>
              </c:pt>
              <c:pt idx="3">
                <c:v>5.5</c:v>
              </c:pt>
              <c:pt idx="4">
                <c:v>0</c:v>
              </c:pt>
              <c:pt idx="5">
                <c:v>0.82999998331069946</c:v>
              </c:pt>
              <c:pt idx="6">
                <c:v>1.0800000429153442</c:v>
              </c:pt>
              <c:pt idx="7">
                <c:v>0.33000001311302185</c:v>
              </c:pt>
              <c:pt idx="8">
                <c:v>1.5800000429153442</c:v>
              </c:pt>
              <c:pt idx="9">
                <c:v>0</c:v>
              </c:pt>
              <c:pt idx="10">
                <c:v>6</c:v>
              </c:pt>
              <c:pt idx="11">
                <c:v>4.5</c:v>
              </c:pt>
              <c:pt idx="12">
                <c:v>0</c:v>
              </c:pt>
              <c:pt idx="13">
                <c:v>0</c:v>
              </c:pt>
              <c:pt idx="14">
                <c:v>3.4200000762939453</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194717"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4</xdr:col>
      <xdr:colOff>485775</xdr:colOff>
      <xdr:row>51</xdr:row>
      <xdr:rowOff>76200</xdr:rowOff>
    </xdr:from>
    <xdr:to>
      <xdr:col>5</xdr:col>
      <xdr:colOff>963135</xdr:colOff>
      <xdr:row>55</xdr:row>
      <xdr:rowOff>106853</xdr:rowOff>
    </xdr:to>
    <xdr:pic>
      <xdr:nvPicPr>
        <xdr:cNvPr id="12" name="Image 1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4950" y="1466850"/>
          <a:ext cx="2487135" cy="19261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31</v>
      </c>
      <c r="C35" s="201"/>
      <c r="D35" s="201"/>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32</v>
      </c>
      <c r="C37" s="202"/>
      <c r="D37" s="202"/>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WM10" zoomScale="55" zoomScaleNormal="55" zoomScaleSheetLayoutView="43" workbookViewId="0">
      <selection activeCell="ADN36" sqref="ADN36"/>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11" t="s">
        <v>30</v>
      </c>
      <c r="D1" s="211"/>
      <c r="E1" s="21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12"/>
      <c r="D7" s="212"/>
      <c r="E7" s="21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16" t="str">
        <f>E96</f>
        <v>90h</v>
      </c>
      <c r="H9" s="216"/>
      <c r="I9" s="216"/>
      <c r="J9" s="216"/>
      <c r="K9" s="216"/>
      <c r="L9" s="216"/>
      <c r="M9" s="216"/>
      <c r="N9" s="216"/>
      <c r="O9" s="216"/>
      <c r="P9" s="216"/>
      <c r="Q9" s="216"/>
      <c r="R9" s="216"/>
      <c r="S9" s="216"/>
      <c r="T9" s="216"/>
      <c r="U9" s="216"/>
      <c r="V9" s="119"/>
      <c r="W9" s="225" t="s">
        <v>22</v>
      </c>
      <c r="X9" s="225"/>
      <c r="Y9" s="225"/>
      <c r="Z9" s="225"/>
      <c r="AA9" s="225"/>
      <c r="AB9" s="225"/>
      <c r="AC9" s="225"/>
      <c r="AD9" s="225"/>
      <c r="AE9" s="225"/>
      <c r="AF9" s="225"/>
      <c r="AG9" s="225"/>
      <c r="AH9" s="216" t="str">
        <f>E98</f>
        <v>32h20min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row>
    <row r="11" spans="1:1744" ht="20.100000000000001" customHeight="1" x14ac:dyDescent="0.25">
      <c r="B11" s="96"/>
      <c r="C11" s="221"/>
      <c r="D11" s="221"/>
      <c r="E11" s="221"/>
      <c r="F11" s="224" t="s">
        <v>86</v>
      </c>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224"/>
      <c r="BJ11" s="224"/>
      <c r="BK11" s="224"/>
      <c r="BL11" s="224"/>
      <c r="BM11" s="224"/>
      <c r="BN11" s="224" t="s">
        <v>85</v>
      </c>
      <c r="BO11" s="224"/>
      <c r="BP11" s="224"/>
      <c r="BQ11" s="224"/>
      <c r="BR11" s="224"/>
      <c r="BS11" s="224"/>
      <c r="BT11" s="224"/>
      <c r="BU11" s="224"/>
      <c r="BV11" s="224"/>
      <c r="BW11" s="224"/>
      <c r="BX11" s="224"/>
      <c r="BY11" s="224"/>
      <c r="BZ11" s="224"/>
      <c r="CA11" s="224"/>
      <c r="CB11" s="224"/>
      <c r="CC11" s="224"/>
      <c r="CD11" s="224"/>
      <c r="CE11" s="224"/>
      <c r="CF11" s="224"/>
      <c r="CG11" s="224"/>
      <c r="CH11" s="224"/>
      <c r="CI11" s="224"/>
      <c r="CJ11" s="224"/>
      <c r="CK11" s="224"/>
      <c r="CL11" s="224"/>
      <c r="CM11" s="224"/>
      <c r="CN11" s="224"/>
      <c r="CO11" s="224"/>
      <c r="CP11" s="224"/>
      <c r="CQ11" s="224"/>
      <c r="CR11" s="224"/>
      <c r="CS11" s="224"/>
      <c r="CT11" s="224"/>
      <c r="CU11" s="224"/>
      <c r="CV11" s="224"/>
      <c r="CW11" s="224"/>
      <c r="CX11" s="224"/>
      <c r="CY11" s="224"/>
      <c r="CZ11" s="224"/>
      <c r="DA11" s="224"/>
      <c r="DB11" s="224"/>
      <c r="DC11" s="224"/>
      <c r="DD11" s="224"/>
      <c r="DE11" s="224"/>
      <c r="DF11" s="224"/>
      <c r="DG11" s="224"/>
      <c r="DH11" s="224"/>
      <c r="DI11" s="224"/>
      <c r="DJ11" s="224"/>
      <c r="DK11" s="224"/>
      <c r="DL11" s="224"/>
      <c r="DM11" s="224"/>
      <c r="DN11" s="224"/>
      <c r="DO11" s="224"/>
      <c r="DP11" s="224"/>
      <c r="DQ11" s="224"/>
      <c r="DR11" s="224"/>
      <c r="DS11" s="224"/>
      <c r="DT11" s="224"/>
      <c r="DU11" s="224"/>
      <c r="DV11" s="204" t="s">
        <v>85</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83</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83</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81</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78</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78</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75</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75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72</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72</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70</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67</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67</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61</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58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58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55</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55</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52</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52</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48</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48</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47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47</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46</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46</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row>
    <row r="12" spans="1:1744" ht="15.75" customHeight="1" thickBot="1" x14ac:dyDescent="0.3">
      <c r="B12" s="97"/>
      <c r="C12" s="222"/>
      <c r="D12" s="222"/>
      <c r="E12" s="222"/>
      <c r="F12" s="223" t="s">
        <v>44</v>
      </c>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c r="AI12" s="223"/>
      <c r="AJ12" s="223"/>
      <c r="AK12" s="223"/>
      <c r="AL12" s="223"/>
      <c r="AM12" s="223"/>
      <c r="AN12" s="223"/>
      <c r="AO12" s="223"/>
      <c r="AP12" s="223"/>
      <c r="AQ12" s="223"/>
      <c r="AR12" s="223"/>
      <c r="AS12" s="223"/>
      <c r="AT12" s="223"/>
      <c r="AU12" s="223"/>
      <c r="AV12" s="223"/>
      <c r="AW12" s="223"/>
      <c r="AX12" s="223"/>
      <c r="AY12" s="223"/>
      <c r="AZ12" s="223"/>
      <c r="BA12" s="223"/>
      <c r="BB12" s="223"/>
      <c r="BC12" s="223"/>
      <c r="BD12" s="223"/>
      <c r="BE12" s="223"/>
      <c r="BF12" s="223"/>
      <c r="BG12" s="223"/>
      <c r="BH12" s="223"/>
      <c r="BI12" s="223"/>
      <c r="BJ12" s="223"/>
      <c r="BK12" s="223"/>
      <c r="BL12" s="223"/>
      <c r="BM12" s="223"/>
      <c r="BN12" s="223" t="s">
        <v>45</v>
      </c>
      <c r="BO12" s="223"/>
      <c r="BP12" s="223"/>
      <c r="BQ12" s="223"/>
      <c r="BR12" s="223"/>
      <c r="BS12" s="223"/>
      <c r="BT12" s="223"/>
      <c r="BU12" s="223"/>
      <c r="BV12" s="223"/>
      <c r="BW12" s="223"/>
      <c r="BX12" s="223"/>
      <c r="BY12" s="223"/>
      <c r="BZ12" s="223"/>
      <c r="CA12" s="223"/>
      <c r="CB12" s="223"/>
      <c r="CC12" s="223"/>
      <c r="CD12" s="223"/>
      <c r="CE12" s="223"/>
      <c r="CF12" s="223"/>
      <c r="CG12" s="223"/>
      <c r="CH12" s="223"/>
      <c r="CI12" s="223"/>
      <c r="CJ12" s="223"/>
      <c r="CK12" s="223"/>
      <c r="CL12" s="223"/>
      <c r="CM12" s="223"/>
      <c r="CN12" s="223"/>
      <c r="CO12" s="223"/>
      <c r="CP12" s="223"/>
      <c r="CQ12" s="223"/>
      <c r="CR12" s="223"/>
      <c r="CS12" s="223"/>
      <c r="CT12" s="223"/>
      <c r="CU12" s="223"/>
      <c r="CV12" s="223"/>
      <c r="CW12" s="223"/>
      <c r="CX12" s="223"/>
      <c r="CY12" s="223"/>
      <c r="CZ12" s="223"/>
      <c r="DA12" s="223"/>
      <c r="DB12" s="223"/>
      <c r="DC12" s="223"/>
      <c r="DD12" s="223"/>
      <c r="DE12" s="223"/>
      <c r="DF12" s="223"/>
      <c r="DG12" s="223"/>
      <c r="DH12" s="223"/>
      <c r="DI12" s="223"/>
      <c r="DJ12" s="223"/>
      <c r="DK12" s="223"/>
      <c r="DL12" s="223"/>
      <c r="DM12" s="223"/>
      <c r="DN12" s="223"/>
      <c r="DO12" s="223"/>
      <c r="DP12" s="223"/>
      <c r="DQ12" s="223"/>
      <c r="DR12" s="223"/>
      <c r="DS12" s="223"/>
      <c r="DT12" s="223"/>
      <c r="DU12" s="223"/>
      <c r="DV12" s="205" t="s">
        <v>44</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45</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44</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45</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45</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44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45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44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45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44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45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45</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44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45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45</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44</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205" t="s">
        <v>45</v>
      </c>
      <c r="AOU12" s="205"/>
      <c r="AOV12" s="205"/>
      <c r="AOW12" s="205"/>
      <c r="AOX12" s="205"/>
      <c r="AOY12" s="205"/>
      <c r="AOZ12" s="205"/>
      <c r="APA12" s="205"/>
      <c r="APB12" s="205"/>
      <c r="APC12" s="205"/>
      <c r="APD12" s="205"/>
      <c r="APE12" s="205"/>
      <c r="APF12" s="205"/>
      <c r="APG12" s="205"/>
      <c r="APH12" s="205"/>
      <c r="API12" s="205"/>
      <c r="APJ12" s="205"/>
      <c r="APK12" s="205"/>
      <c r="APL12" s="205"/>
      <c r="APM12" s="205"/>
      <c r="APN12" s="205"/>
      <c r="APO12" s="205"/>
      <c r="APP12" s="205"/>
      <c r="APQ12" s="205"/>
      <c r="APR12" s="205"/>
      <c r="APS12" s="205"/>
      <c r="APT12" s="205"/>
      <c r="APU12" s="205"/>
      <c r="APV12" s="205"/>
      <c r="APW12" s="205"/>
      <c r="APX12" s="205"/>
      <c r="APY12" s="205"/>
      <c r="APZ12" s="205"/>
      <c r="AQA12" s="205"/>
      <c r="AQB12" s="205"/>
      <c r="AQC12" s="205"/>
      <c r="AQD12" s="205"/>
      <c r="AQE12" s="205"/>
      <c r="AQF12" s="205"/>
      <c r="AQG12" s="205"/>
      <c r="AQH12" s="205"/>
      <c r="AQI12" s="205"/>
      <c r="AQJ12" s="205"/>
      <c r="AQK12" s="205"/>
      <c r="AQL12" s="205"/>
      <c r="AQM12" s="205"/>
      <c r="AQN12" s="205"/>
      <c r="AQO12" s="205"/>
      <c r="AQP12" s="205"/>
      <c r="AQQ12" s="205"/>
      <c r="AQR12" s="205"/>
      <c r="AQS12" s="205"/>
      <c r="AQT12" s="205"/>
      <c r="AQU12" s="205"/>
      <c r="AQV12" s="205"/>
      <c r="AQW12" s="205"/>
      <c r="AQX12" s="205"/>
      <c r="AQY12" s="205"/>
      <c r="AQZ12" s="205"/>
      <c r="ARA12" s="205"/>
      <c r="ARB12" s="205" t="s">
        <v>44</v>
      </c>
      <c r="ARC12" s="205"/>
      <c r="ARD12" s="205"/>
      <c r="ARE12" s="205"/>
      <c r="ARF12" s="205"/>
      <c r="ARG12" s="205"/>
      <c r="ARH12" s="205"/>
      <c r="ARI12" s="205"/>
      <c r="ARJ12" s="205"/>
      <c r="ARK12" s="205"/>
      <c r="ARL12" s="205"/>
      <c r="ARM12" s="205"/>
      <c r="ARN12" s="205"/>
      <c r="ARO12" s="205"/>
      <c r="ARP12" s="205"/>
      <c r="ARQ12" s="205"/>
      <c r="ARR12" s="205"/>
      <c r="ARS12" s="205"/>
      <c r="ART12" s="205"/>
      <c r="ARU12" s="205"/>
      <c r="ARV12" s="205"/>
      <c r="ARW12" s="205"/>
      <c r="ARX12" s="205"/>
      <c r="ARY12" s="205"/>
      <c r="ARZ12" s="205"/>
      <c r="ASA12" s="205"/>
      <c r="ASB12" s="205"/>
      <c r="ASC12" s="205"/>
      <c r="ASD12" s="205"/>
      <c r="ASE12" s="205"/>
      <c r="ASF12" s="205"/>
      <c r="ASG12" s="205"/>
      <c r="ASH12" s="205"/>
      <c r="ASI12" s="205"/>
      <c r="ASJ12" s="205"/>
      <c r="ASK12" s="205"/>
      <c r="ASL12" s="205"/>
      <c r="ASM12" s="205"/>
      <c r="ASN12" s="205"/>
      <c r="ASO12" s="205"/>
      <c r="ASP12" s="205"/>
      <c r="ASQ12" s="205"/>
      <c r="ASR12" s="205"/>
      <c r="ASS12" s="205"/>
      <c r="AST12" s="205"/>
      <c r="ASU12" s="205"/>
      <c r="ASV12" s="205"/>
      <c r="ASW12" s="205"/>
      <c r="ASX12" s="205"/>
      <c r="ASY12" s="205"/>
      <c r="ASZ12" s="205"/>
      <c r="ATA12" s="205"/>
      <c r="ATB12" s="205"/>
      <c r="ATC12" s="205"/>
      <c r="ATD12" s="205"/>
      <c r="ATE12" s="205"/>
      <c r="ATF12" s="205"/>
      <c r="ATG12" s="205"/>
      <c r="ATH12" s="205"/>
      <c r="ATI12" s="205"/>
      <c r="ATJ12" s="205" t="s">
        <v>45</v>
      </c>
      <c r="ATK12" s="205"/>
      <c r="ATL12" s="205"/>
      <c r="ATM12" s="205"/>
      <c r="ATN12" s="205"/>
      <c r="ATO12" s="205"/>
      <c r="ATP12" s="205"/>
      <c r="ATQ12" s="205"/>
      <c r="ATR12" s="205"/>
      <c r="ATS12" s="205"/>
      <c r="ATT12" s="205"/>
      <c r="ATU12" s="205"/>
      <c r="ATV12" s="205"/>
      <c r="ATW12" s="205"/>
      <c r="ATX12" s="205"/>
      <c r="ATY12" s="205"/>
      <c r="ATZ12" s="205"/>
      <c r="AUA12" s="205"/>
      <c r="AUB12" s="205"/>
      <c r="AUC12" s="205"/>
      <c r="AUD12" s="205"/>
      <c r="AUE12" s="205"/>
      <c r="AUF12" s="205"/>
      <c r="AUG12" s="205"/>
      <c r="AUH12" s="205"/>
      <c r="AUI12" s="205"/>
      <c r="AUJ12" s="205"/>
      <c r="AUK12" s="205"/>
      <c r="AUL12" s="205"/>
      <c r="AUM12" s="205"/>
      <c r="AUN12" s="205"/>
      <c r="AUO12" s="205"/>
      <c r="AUP12" s="205"/>
      <c r="AUQ12" s="205"/>
      <c r="AUR12" s="205"/>
      <c r="AUS12" s="205"/>
      <c r="AUT12" s="205"/>
      <c r="AUU12" s="205"/>
      <c r="AUV12" s="205"/>
      <c r="AUW12" s="205"/>
      <c r="AUX12" s="205"/>
      <c r="AUY12" s="205"/>
      <c r="AUZ12" s="205"/>
      <c r="AVA12" s="205"/>
      <c r="AVB12" s="205"/>
      <c r="AVC12" s="205"/>
      <c r="AVD12" s="205"/>
      <c r="AVE12" s="205"/>
      <c r="AVF12" s="205"/>
      <c r="AVG12" s="205"/>
      <c r="AVH12" s="205"/>
      <c r="AVI12" s="205"/>
      <c r="AVJ12" s="205"/>
      <c r="AVK12" s="205"/>
      <c r="AVL12" s="205"/>
      <c r="AVM12" s="205"/>
      <c r="AVN12" s="205"/>
      <c r="AVO12" s="205"/>
      <c r="AVP12" s="205"/>
      <c r="AVQ12" s="205"/>
      <c r="AVR12" s="205" t="s">
        <v>44</v>
      </c>
      <c r="AVS12" s="205"/>
      <c r="AVT12" s="205"/>
      <c r="AVU12" s="205"/>
      <c r="AVV12" s="205"/>
      <c r="AVW12" s="205"/>
      <c r="AVX12" s="205"/>
      <c r="AVY12" s="205"/>
      <c r="AVZ12" s="205"/>
      <c r="AWA12" s="205"/>
      <c r="AWB12" s="205"/>
      <c r="AWC12" s="205"/>
      <c r="AWD12" s="205"/>
      <c r="AWE12" s="205"/>
      <c r="AWF12" s="205"/>
      <c r="AWG12" s="205"/>
      <c r="AWH12" s="205"/>
      <c r="AWI12" s="205"/>
      <c r="AWJ12" s="205"/>
      <c r="AWK12" s="205"/>
      <c r="AWL12" s="205"/>
      <c r="AWM12" s="205"/>
      <c r="AWN12" s="205"/>
      <c r="AWO12" s="205"/>
      <c r="AWP12" s="205"/>
      <c r="AWQ12" s="205"/>
      <c r="AWR12" s="205"/>
      <c r="AWS12" s="205"/>
      <c r="AWT12" s="205"/>
      <c r="AWU12" s="205"/>
      <c r="AWV12" s="205"/>
      <c r="AWW12" s="205"/>
      <c r="AWX12" s="205"/>
      <c r="AWY12" s="205"/>
      <c r="AWZ12" s="205"/>
      <c r="AXA12" s="205"/>
      <c r="AXB12" s="205"/>
      <c r="AXC12" s="205"/>
      <c r="AXD12" s="205"/>
      <c r="AXE12" s="205"/>
      <c r="AXF12" s="205"/>
      <c r="AXG12" s="205"/>
      <c r="AXH12" s="205"/>
      <c r="AXI12" s="205"/>
      <c r="AXJ12" s="205"/>
      <c r="AXK12" s="205"/>
      <c r="AXL12" s="205"/>
      <c r="AXM12" s="205"/>
      <c r="AXN12" s="205"/>
      <c r="AXO12" s="205"/>
      <c r="AXP12" s="205"/>
      <c r="AXQ12" s="205"/>
      <c r="AXR12" s="205"/>
      <c r="AXS12" s="205"/>
      <c r="AXT12" s="205"/>
      <c r="AXU12" s="205"/>
      <c r="AXV12" s="205"/>
      <c r="AXW12" s="205"/>
      <c r="AXX12" s="205"/>
      <c r="AXY12" s="205"/>
      <c r="AXZ12" s="205" t="s">
        <v>45</v>
      </c>
      <c r="AYA12" s="205"/>
      <c r="AYB12" s="205"/>
      <c r="AYC12" s="205"/>
      <c r="AYD12" s="205"/>
      <c r="AYE12" s="205"/>
      <c r="AYF12" s="205"/>
      <c r="AYG12" s="205"/>
      <c r="AYH12" s="205"/>
      <c r="AYI12" s="205"/>
      <c r="AYJ12" s="205"/>
      <c r="AYK12" s="205"/>
      <c r="AYL12" s="205"/>
      <c r="AYM12" s="205"/>
      <c r="AYN12" s="205"/>
      <c r="AYO12" s="205"/>
      <c r="AYP12" s="205"/>
      <c r="AYQ12" s="205"/>
      <c r="AYR12" s="205"/>
      <c r="AYS12" s="205"/>
      <c r="AYT12" s="205"/>
      <c r="AYU12" s="205"/>
      <c r="AYV12" s="205"/>
      <c r="AYW12" s="205"/>
      <c r="AYX12" s="205"/>
      <c r="AYY12" s="205"/>
      <c r="AYZ12" s="205"/>
      <c r="AZA12" s="205"/>
      <c r="AZB12" s="205"/>
      <c r="AZC12" s="205"/>
      <c r="AZD12" s="205"/>
      <c r="AZE12" s="205"/>
      <c r="AZF12" s="205"/>
      <c r="AZG12" s="205"/>
      <c r="AZH12" s="205"/>
      <c r="AZI12" s="205"/>
      <c r="AZJ12" s="205"/>
      <c r="AZK12" s="205"/>
      <c r="AZL12" s="205"/>
      <c r="AZM12" s="205"/>
      <c r="AZN12" s="205"/>
      <c r="AZO12" s="205"/>
      <c r="AZP12" s="205"/>
      <c r="AZQ12" s="205"/>
      <c r="AZR12" s="205"/>
      <c r="AZS12" s="205"/>
      <c r="AZT12" s="205"/>
      <c r="AZU12" s="205"/>
      <c r="AZV12" s="205"/>
      <c r="AZW12" s="205"/>
      <c r="AZX12" s="205"/>
      <c r="AZY12" s="205"/>
      <c r="AZZ12" s="205"/>
      <c r="BAA12" s="205"/>
      <c r="BAB12" s="205"/>
      <c r="BAC12" s="205"/>
      <c r="BAD12" s="205"/>
      <c r="BAE12" s="205"/>
      <c r="BAF12" s="205"/>
      <c r="BAG12" s="205"/>
      <c r="BAH12" s="205" t="s">
        <v>44</v>
      </c>
      <c r="BAI12" s="205"/>
      <c r="BAJ12" s="205"/>
      <c r="BAK12" s="205"/>
      <c r="BAL12" s="205"/>
      <c r="BAM12" s="205"/>
      <c r="BAN12" s="205"/>
      <c r="BAO12" s="205"/>
      <c r="BAP12" s="205"/>
      <c r="BAQ12" s="205"/>
      <c r="BAR12" s="205"/>
      <c r="BAS12" s="205"/>
      <c r="BAT12" s="205"/>
      <c r="BAU12" s="205"/>
      <c r="BAV12" s="205"/>
      <c r="BAW12" s="205"/>
      <c r="BAX12" s="205"/>
      <c r="BAY12" s="205"/>
      <c r="BAZ12" s="205"/>
      <c r="BBA12" s="205"/>
      <c r="BBB12" s="205"/>
      <c r="BBC12" s="205"/>
      <c r="BBD12" s="205"/>
      <c r="BBE12" s="205"/>
      <c r="BBF12" s="205"/>
      <c r="BBG12" s="205"/>
      <c r="BBH12" s="205"/>
      <c r="BBI12" s="205"/>
      <c r="BBJ12" s="205"/>
      <c r="BBK12" s="205"/>
      <c r="BBL12" s="205"/>
      <c r="BBM12" s="205"/>
      <c r="BBN12" s="205"/>
      <c r="BBO12" s="205"/>
      <c r="BBP12" s="205"/>
      <c r="BBQ12" s="205"/>
      <c r="BBR12" s="205"/>
      <c r="BBS12" s="205"/>
      <c r="BBT12" s="205"/>
      <c r="BBU12" s="205"/>
      <c r="BBV12" s="205"/>
      <c r="BBW12" s="205"/>
      <c r="BBX12" s="205"/>
      <c r="BBY12" s="205"/>
      <c r="BBZ12" s="205"/>
      <c r="BCA12" s="205"/>
      <c r="BCB12" s="205"/>
      <c r="BCC12" s="205"/>
      <c r="BCD12" s="205"/>
      <c r="BCE12" s="205"/>
      <c r="BCF12" s="205"/>
      <c r="BCG12" s="205"/>
      <c r="BCH12" s="205"/>
      <c r="BCI12" s="205"/>
      <c r="BCJ12" s="205"/>
      <c r="BCK12" s="205"/>
      <c r="BCL12" s="205"/>
      <c r="BCM12" s="205"/>
      <c r="BCN12" s="205"/>
      <c r="BCO12" s="205"/>
      <c r="BCP12" s="205" t="s">
        <v>45</v>
      </c>
      <c r="BCQ12" s="205"/>
      <c r="BCR12" s="205"/>
      <c r="BCS12" s="205"/>
      <c r="BCT12" s="205"/>
      <c r="BCU12" s="205"/>
      <c r="BCV12" s="205"/>
      <c r="BCW12" s="205"/>
      <c r="BCX12" s="205"/>
      <c r="BCY12" s="205"/>
      <c r="BCZ12" s="205"/>
      <c r="BDA12" s="205"/>
      <c r="BDB12" s="205"/>
      <c r="BDC12" s="205"/>
      <c r="BDD12" s="205"/>
      <c r="BDE12" s="205"/>
      <c r="BDF12" s="205"/>
      <c r="BDG12" s="205"/>
      <c r="BDH12" s="205"/>
      <c r="BDI12" s="205"/>
      <c r="BDJ12" s="205"/>
      <c r="BDK12" s="205"/>
      <c r="BDL12" s="205"/>
      <c r="BDM12" s="205"/>
      <c r="BDN12" s="205"/>
      <c r="BDO12" s="205"/>
      <c r="BDP12" s="205"/>
      <c r="BDQ12" s="205"/>
      <c r="BDR12" s="205"/>
      <c r="BDS12" s="205"/>
      <c r="BDT12" s="205"/>
      <c r="BDU12" s="205"/>
      <c r="BDV12" s="205"/>
      <c r="BDW12" s="205"/>
      <c r="BDX12" s="205"/>
      <c r="BDY12" s="205"/>
      <c r="BDZ12" s="205"/>
      <c r="BEA12" s="205"/>
      <c r="BEB12" s="205"/>
      <c r="BEC12" s="205"/>
      <c r="BED12" s="205"/>
      <c r="BEE12" s="205"/>
      <c r="BEF12" s="205"/>
      <c r="BEG12" s="205"/>
      <c r="BEH12" s="205"/>
      <c r="BEI12" s="205"/>
      <c r="BEJ12" s="205"/>
      <c r="BEK12" s="205"/>
      <c r="BEL12" s="205"/>
      <c r="BEM12" s="205"/>
      <c r="BEN12" s="205"/>
      <c r="BEO12" s="205"/>
      <c r="BEP12" s="205"/>
      <c r="BEQ12" s="205"/>
      <c r="BER12" s="205"/>
      <c r="BES12" s="205"/>
      <c r="BET12" s="205"/>
      <c r="BEU12" s="205"/>
      <c r="BEV12" s="205"/>
      <c r="BEW12" s="205"/>
      <c r="BEX12" s="205" t="s">
        <v>44</v>
      </c>
      <c r="BEY12" s="205"/>
      <c r="BEZ12" s="205"/>
      <c r="BFA12" s="205"/>
      <c r="BFB12" s="205"/>
      <c r="BFC12" s="205"/>
      <c r="BFD12" s="205"/>
      <c r="BFE12" s="205"/>
      <c r="BFF12" s="205"/>
      <c r="BFG12" s="205"/>
      <c r="BFH12" s="205"/>
      <c r="BFI12" s="205"/>
      <c r="BFJ12" s="205"/>
      <c r="BFK12" s="205"/>
      <c r="BFL12" s="205"/>
      <c r="BFM12" s="205"/>
      <c r="BFN12" s="205"/>
      <c r="BFO12" s="205"/>
      <c r="BFP12" s="205"/>
      <c r="BFQ12" s="205"/>
      <c r="BFR12" s="205"/>
      <c r="BFS12" s="205"/>
      <c r="BFT12" s="205"/>
      <c r="BFU12" s="205"/>
      <c r="BFV12" s="205"/>
      <c r="BFW12" s="205"/>
      <c r="BFX12" s="205"/>
      <c r="BFY12" s="205"/>
      <c r="BFZ12" s="205"/>
      <c r="BGA12" s="205"/>
      <c r="BGB12" s="205"/>
      <c r="BGC12" s="205"/>
      <c r="BGD12" s="205"/>
      <c r="BGE12" s="205"/>
      <c r="BGF12" s="205"/>
      <c r="BGG12" s="205"/>
      <c r="BGH12" s="205"/>
      <c r="BGI12" s="205"/>
      <c r="BGJ12" s="205"/>
      <c r="BGK12" s="205"/>
      <c r="BGL12" s="205"/>
      <c r="BGM12" s="205"/>
      <c r="BGN12" s="205"/>
      <c r="BGO12" s="205"/>
      <c r="BGP12" s="205"/>
      <c r="BGQ12" s="205"/>
      <c r="BGR12" s="205"/>
      <c r="BGS12" s="205"/>
      <c r="BGT12" s="205"/>
      <c r="BGU12" s="205"/>
      <c r="BGV12" s="205"/>
      <c r="BGW12" s="205"/>
      <c r="BGX12" s="205"/>
      <c r="BGY12" s="205"/>
      <c r="BGZ12" s="205"/>
      <c r="BHA12" s="205"/>
      <c r="BHB12" s="205"/>
      <c r="BHC12" s="205"/>
      <c r="BHD12" s="205"/>
      <c r="BHE12" s="205"/>
      <c r="BHF12" s="205" t="s">
        <v>45</v>
      </c>
      <c r="BHG12" s="205"/>
      <c r="BHH12" s="205"/>
      <c r="BHI12" s="205"/>
      <c r="BHJ12" s="205"/>
      <c r="BHK12" s="205"/>
      <c r="BHL12" s="205"/>
      <c r="BHM12" s="205"/>
      <c r="BHN12" s="205"/>
      <c r="BHO12" s="205"/>
      <c r="BHP12" s="205"/>
      <c r="BHQ12" s="205"/>
      <c r="BHR12" s="205"/>
      <c r="BHS12" s="205"/>
      <c r="BHT12" s="205"/>
      <c r="BHU12" s="205"/>
      <c r="BHV12" s="205"/>
      <c r="BHW12" s="205"/>
      <c r="BHX12" s="205"/>
      <c r="BHY12" s="205"/>
      <c r="BHZ12" s="205"/>
      <c r="BIA12" s="205"/>
      <c r="BIB12" s="205"/>
      <c r="BIC12" s="205"/>
      <c r="BID12" s="205"/>
      <c r="BIE12" s="205"/>
      <c r="BIF12" s="205"/>
      <c r="BIG12" s="205"/>
      <c r="BIH12" s="205"/>
      <c r="BII12" s="205"/>
      <c r="BIJ12" s="205"/>
      <c r="BIK12" s="205"/>
      <c r="BIL12" s="205"/>
      <c r="BIM12" s="205"/>
      <c r="BIN12" s="205"/>
      <c r="BIO12" s="205"/>
      <c r="BIP12" s="205"/>
      <c r="BIQ12" s="205"/>
      <c r="BIR12" s="205"/>
      <c r="BIS12" s="205"/>
      <c r="BIT12" s="205"/>
      <c r="BIU12" s="205"/>
      <c r="BIV12" s="205"/>
      <c r="BIW12" s="205"/>
      <c r="BIX12" s="205"/>
      <c r="BIY12" s="205"/>
      <c r="BIZ12" s="205"/>
      <c r="BJA12" s="205"/>
      <c r="BJB12" s="205"/>
      <c r="BJC12" s="205"/>
      <c r="BJD12" s="205"/>
      <c r="BJE12" s="205"/>
      <c r="BJF12" s="205"/>
      <c r="BJG12" s="205"/>
      <c r="BJH12" s="205"/>
      <c r="BJI12" s="205"/>
      <c r="BJJ12" s="205"/>
      <c r="BJK12" s="205"/>
      <c r="BJL12" s="205"/>
      <c r="BJM12" s="205"/>
      <c r="BJN12" s="205" t="s">
        <v>44</v>
      </c>
      <c r="BJO12" s="205"/>
      <c r="BJP12" s="205"/>
      <c r="BJQ12" s="205"/>
      <c r="BJR12" s="205"/>
      <c r="BJS12" s="205"/>
      <c r="BJT12" s="205"/>
      <c r="BJU12" s="205"/>
      <c r="BJV12" s="205"/>
      <c r="BJW12" s="205"/>
      <c r="BJX12" s="205"/>
      <c r="BJY12" s="205"/>
      <c r="BJZ12" s="205"/>
      <c r="BKA12" s="205"/>
      <c r="BKB12" s="205"/>
      <c r="BKC12" s="205"/>
      <c r="BKD12" s="205"/>
      <c r="BKE12" s="205"/>
      <c r="BKF12" s="205"/>
      <c r="BKG12" s="205"/>
      <c r="BKH12" s="205"/>
      <c r="BKI12" s="205"/>
      <c r="BKJ12" s="205"/>
      <c r="BKK12" s="205"/>
      <c r="BKL12" s="205"/>
      <c r="BKM12" s="205"/>
      <c r="BKN12" s="205"/>
      <c r="BKO12" s="205"/>
      <c r="BKP12" s="205"/>
      <c r="BKQ12" s="205"/>
      <c r="BKR12" s="205"/>
      <c r="BKS12" s="205"/>
      <c r="BKT12" s="205"/>
      <c r="BKU12" s="205"/>
      <c r="BKV12" s="205"/>
      <c r="BKW12" s="205"/>
      <c r="BKX12" s="205"/>
      <c r="BKY12" s="205"/>
      <c r="BKZ12" s="205"/>
      <c r="BLA12" s="205"/>
      <c r="BLB12" s="205"/>
      <c r="BLC12" s="205"/>
      <c r="BLD12" s="205"/>
      <c r="BLE12" s="205"/>
      <c r="BLF12" s="205"/>
      <c r="BLG12" s="205"/>
      <c r="BLH12" s="205"/>
      <c r="BLI12" s="205"/>
      <c r="BLJ12" s="205"/>
      <c r="BLK12" s="205"/>
      <c r="BLL12" s="205"/>
      <c r="BLM12" s="205"/>
      <c r="BLN12" s="205"/>
      <c r="BLO12" s="205"/>
      <c r="BLP12" s="205"/>
      <c r="BLQ12" s="205"/>
      <c r="BLR12" s="205"/>
      <c r="BLS12" s="205"/>
      <c r="BLT12" s="205"/>
      <c r="BLU12" s="205"/>
    </row>
    <row r="13" spans="1:1744" ht="42.75" customHeight="1" thickBot="1" x14ac:dyDescent="0.3">
      <c r="B13" s="96"/>
      <c r="C13" s="217" t="s">
        <v>7</v>
      </c>
      <c r="D13" s="144"/>
      <c r="E13" s="219" t="s">
        <v>38</v>
      </c>
      <c r="F13" s="206" t="s">
        <v>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27</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18</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84</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82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80</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79</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77</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76</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74</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73</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71</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69</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68</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66</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65</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64</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63</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206" t="s">
        <v>62</v>
      </c>
      <c r="AOU13" s="207"/>
      <c r="AOV13" s="207"/>
      <c r="AOW13" s="207"/>
      <c r="AOX13" s="207"/>
      <c r="AOY13" s="207"/>
      <c r="AOZ13" s="207"/>
      <c r="APA13" s="207"/>
      <c r="APB13" s="207"/>
      <c r="APC13" s="207"/>
      <c r="APD13" s="207"/>
      <c r="APE13" s="207"/>
      <c r="APF13" s="207"/>
      <c r="APG13" s="207"/>
      <c r="APH13" s="207"/>
      <c r="API13" s="207"/>
      <c r="APJ13" s="207"/>
      <c r="APK13" s="207"/>
      <c r="APL13" s="207"/>
      <c r="APM13" s="207"/>
      <c r="APN13" s="207"/>
      <c r="APO13" s="207"/>
      <c r="APP13" s="207"/>
      <c r="APQ13" s="207"/>
      <c r="APR13" s="207"/>
      <c r="APS13" s="207"/>
      <c r="APT13" s="207"/>
      <c r="APU13" s="207"/>
      <c r="APV13" s="207"/>
      <c r="APW13" s="207"/>
      <c r="APX13" s="207"/>
      <c r="APY13" s="207"/>
      <c r="APZ13" s="207"/>
      <c r="AQA13" s="207"/>
      <c r="AQB13" s="207"/>
      <c r="AQC13" s="207"/>
      <c r="AQD13" s="207"/>
      <c r="AQE13" s="207"/>
      <c r="AQF13" s="207"/>
      <c r="AQG13" s="207"/>
      <c r="AQH13" s="207"/>
      <c r="AQI13" s="207"/>
      <c r="AQJ13" s="207"/>
      <c r="AQK13" s="207"/>
      <c r="AQL13" s="207"/>
      <c r="AQM13" s="207"/>
      <c r="AQN13" s="207"/>
      <c r="AQO13" s="207"/>
      <c r="AQP13" s="207"/>
      <c r="AQQ13" s="207"/>
      <c r="AQR13" s="207"/>
      <c r="AQS13" s="207"/>
      <c r="AQT13" s="207"/>
      <c r="AQU13" s="207"/>
      <c r="AQV13" s="207"/>
      <c r="AQW13" s="207"/>
      <c r="AQX13" s="207"/>
      <c r="AQY13" s="207"/>
      <c r="AQZ13" s="207"/>
      <c r="ARA13" s="208"/>
      <c r="ARB13" s="206" t="s">
        <v>60</v>
      </c>
      <c r="ARC13" s="207"/>
      <c r="ARD13" s="207"/>
      <c r="ARE13" s="207"/>
      <c r="ARF13" s="207"/>
      <c r="ARG13" s="207"/>
      <c r="ARH13" s="207"/>
      <c r="ARI13" s="207"/>
      <c r="ARJ13" s="207"/>
      <c r="ARK13" s="207"/>
      <c r="ARL13" s="207"/>
      <c r="ARM13" s="207"/>
      <c r="ARN13" s="207"/>
      <c r="ARO13" s="207"/>
      <c r="ARP13" s="207"/>
      <c r="ARQ13" s="207"/>
      <c r="ARR13" s="207"/>
      <c r="ARS13" s="207"/>
      <c r="ART13" s="207"/>
      <c r="ARU13" s="207"/>
      <c r="ARV13" s="207"/>
      <c r="ARW13" s="207"/>
      <c r="ARX13" s="207"/>
      <c r="ARY13" s="207"/>
      <c r="ARZ13" s="207"/>
      <c r="ASA13" s="207"/>
      <c r="ASB13" s="207"/>
      <c r="ASC13" s="207"/>
      <c r="ASD13" s="207"/>
      <c r="ASE13" s="207"/>
      <c r="ASF13" s="207"/>
      <c r="ASG13" s="207"/>
      <c r="ASH13" s="207"/>
      <c r="ASI13" s="207"/>
      <c r="ASJ13" s="207"/>
      <c r="ASK13" s="207"/>
      <c r="ASL13" s="207"/>
      <c r="ASM13" s="207"/>
      <c r="ASN13" s="207"/>
      <c r="ASO13" s="207"/>
      <c r="ASP13" s="207"/>
      <c r="ASQ13" s="207"/>
      <c r="ASR13" s="207"/>
      <c r="ASS13" s="207"/>
      <c r="AST13" s="207"/>
      <c r="ASU13" s="207"/>
      <c r="ASV13" s="207"/>
      <c r="ASW13" s="207"/>
      <c r="ASX13" s="207"/>
      <c r="ASY13" s="207"/>
      <c r="ASZ13" s="207"/>
      <c r="ATA13" s="207"/>
      <c r="ATB13" s="207"/>
      <c r="ATC13" s="207"/>
      <c r="ATD13" s="207"/>
      <c r="ATE13" s="207"/>
      <c r="ATF13" s="207"/>
      <c r="ATG13" s="207"/>
      <c r="ATH13" s="207"/>
      <c r="ATI13" s="208"/>
      <c r="ATJ13" s="206" t="s">
        <v>59</v>
      </c>
      <c r="ATK13" s="207"/>
      <c r="ATL13" s="207"/>
      <c r="ATM13" s="207"/>
      <c r="ATN13" s="207"/>
      <c r="ATO13" s="207"/>
      <c r="ATP13" s="207"/>
      <c r="ATQ13" s="207"/>
      <c r="ATR13" s="207"/>
      <c r="ATS13" s="207"/>
      <c r="ATT13" s="207"/>
      <c r="ATU13" s="207"/>
      <c r="ATV13" s="207"/>
      <c r="ATW13" s="207"/>
      <c r="ATX13" s="207"/>
      <c r="ATY13" s="207"/>
      <c r="ATZ13" s="207"/>
      <c r="AUA13" s="207"/>
      <c r="AUB13" s="207"/>
      <c r="AUC13" s="207"/>
      <c r="AUD13" s="207"/>
      <c r="AUE13" s="207"/>
      <c r="AUF13" s="207"/>
      <c r="AUG13" s="207"/>
      <c r="AUH13" s="207"/>
      <c r="AUI13" s="207"/>
      <c r="AUJ13" s="207"/>
      <c r="AUK13" s="207"/>
      <c r="AUL13" s="207"/>
      <c r="AUM13" s="207"/>
      <c r="AUN13" s="207"/>
      <c r="AUO13" s="207"/>
      <c r="AUP13" s="207"/>
      <c r="AUQ13" s="207"/>
      <c r="AUR13" s="207"/>
      <c r="AUS13" s="207"/>
      <c r="AUT13" s="207"/>
      <c r="AUU13" s="207"/>
      <c r="AUV13" s="207"/>
      <c r="AUW13" s="207"/>
      <c r="AUX13" s="207"/>
      <c r="AUY13" s="207"/>
      <c r="AUZ13" s="207"/>
      <c r="AVA13" s="207"/>
      <c r="AVB13" s="207"/>
      <c r="AVC13" s="207"/>
      <c r="AVD13" s="207"/>
      <c r="AVE13" s="207"/>
      <c r="AVF13" s="207"/>
      <c r="AVG13" s="207"/>
      <c r="AVH13" s="207"/>
      <c r="AVI13" s="207"/>
      <c r="AVJ13" s="207"/>
      <c r="AVK13" s="207"/>
      <c r="AVL13" s="207"/>
      <c r="AVM13" s="207"/>
      <c r="AVN13" s="207"/>
      <c r="AVO13" s="207"/>
      <c r="AVP13" s="207"/>
      <c r="AVQ13" s="208"/>
      <c r="AVR13" s="206" t="s">
        <v>57</v>
      </c>
      <c r="AVS13" s="207"/>
      <c r="AVT13" s="207"/>
      <c r="AVU13" s="207"/>
      <c r="AVV13" s="207"/>
      <c r="AVW13" s="207"/>
      <c r="AVX13" s="207"/>
      <c r="AVY13" s="207"/>
      <c r="AVZ13" s="207"/>
      <c r="AWA13" s="207"/>
      <c r="AWB13" s="207"/>
      <c r="AWC13" s="207"/>
      <c r="AWD13" s="207"/>
      <c r="AWE13" s="207"/>
      <c r="AWF13" s="207"/>
      <c r="AWG13" s="207"/>
      <c r="AWH13" s="207"/>
      <c r="AWI13" s="207"/>
      <c r="AWJ13" s="207"/>
      <c r="AWK13" s="207"/>
      <c r="AWL13" s="207"/>
      <c r="AWM13" s="207"/>
      <c r="AWN13" s="207"/>
      <c r="AWO13" s="207"/>
      <c r="AWP13" s="207"/>
      <c r="AWQ13" s="207"/>
      <c r="AWR13" s="207"/>
      <c r="AWS13" s="207"/>
      <c r="AWT13" s="207"/>
      <c r="AWU13" s="207"/>
      <c r="AWV13" s="207"/>
      <c r="AWW13" s="207"/>
      <c r="AWX13" s="207"/>
      <c r="AWY13" s="207"/>
      <c r="AWZ13" s="207"/>
      <c r="AXA13" s="207"/>
      <c r="AXB13" s="207"/>
      <c r="AXC13" s="207"/>
      <c r="AXD13" s="207"/>
      <c r="AXE13" s="207"/>
      <c r="AXF13" s="207"/>
      <c r="AXG13" s="207"/>
      <c r="AXH13" s="207"/>
      <c r="AXI13" s="207"/>
      <c r="AXJ13" s="207"/>
      <c r="AXK13" s="207"/>
      <c r="AXL13" s="207"/>
      <c r="AXM13" s="207"/>
      <c r="AXN13" s="207"/>
      <c r="AXO13" s="207"/>
      <c r="AXP13" s="207"/>
      <c r="AXQ13" s="207"/>
      <c r="AXR13" s="207"/>
      <c r="AXS13" s="207"/>
      <c r="AXT13" s="207"/>
      <c r="AXU13" s="207"/>
      <c r="AXV13" s="207"/>
      <c r="AXW13" s="207"/>
      <c r="AXX13" s="207"/>
      <c r="AXY13" s="208"/>
      <c r="AXZ13" s="206" t="s">
        <v>56</v>
      </c>
      <c r="AYA13" s="207"/>
      <c r="AYB13" s="207"/>
      <c r="AYC13" s="207"/>
      <c r="AYD13" s="207"/>
      <c r="AYE13" s="207"/>
      <c r="AYF13" s="207"/>
      <c r="AYG13" s="207"/>
      <c r="AYH13" s="207"/>
      <c r="AYI13" s="207"/>
      <c r="AYJ13" s="207"/>
      <c r="AYK13" s="207"/>
      <c r="AYL13" s="207"/>
      <c r="AYM13" s="207"/>
      <c r="AYN13" s="207"/>
      <c r="AYO13" s="207"/>
      <c r="AYP13" s="207"/>
      <c r="AYQ13" s="207"/>
      <c r="AYR13" s="207"/>
      <c r="AYS13" s="207"/>
      <c r="AYT13" s="207"/>
      <c r="AYU13" s="207"/>
      <c r="AYV13" s="207"/>
      <c r="AYW13" s="207"/>
      <c r="AYX13" s="207"/>
      <c r="AYY13" s="207"/>
      <c r="AYZ13" s="207"/>
      <c r="AZA13" s="207"/>
      <c r="AZB13" s="207"/>
      <c r="AZC13" s="207"/>
      <c r="AZD13" s="207"/>
      <c r="AZE13" s="207"/>
      <c r="AZF13" s="207"/>
      <c r="AZG13" s="207"/>
      <c r="AZH13" s="207"/>
      <c r="AZI13" s="207"/>
      <c r="AZJ13" s="207"/>
      <c r="AZK13" s="207"/>
      <c r="AZL13" s="207"/>
      <c r="AZM13" s="207"/>
      <c r="AZN13" s="207"/>
      <c r="AZO13" s="207"/>
      <c r="AZP13" s="207"/>
      <c r="AZQ13" s="207"/>
      <c r="AZR13" s="207"/>
      <c r="AZS13" s="207"/>
      <c r="AZT13" s="207"/>
      <c r="AZU13" s="207"/>
      <c r="AZV13" s="207"/>
      <c r="AZW13" s="207"/>
      <c r="AZX13" s="207"/>
      <c r="AZY13" s="207"/>
      <c r="AZZ13" s="207"/>
      <c r="BAA13" s="207"/>
      <c r="BAB13" s="207"/>
      <c r="BAC13" s="207"/>
      <c r="BAD13" s="207"/>
      <c r="BAE13" s="207"/>
      <c r="BAF13" s="207"/>
      <c r="BAG13" s="208"/>
      <c r="BAH13" s="206" t="s">
        <v>54</v>
      </c>
      <c r="BAI13" s="207"/>
      <c r="BAJ13" s="207"/>
      <c r="BAK13" s="207"/>
      <c r="BAL13" s="207"/>
      <c r="BAM13" s="207"/>
      <c r="BAN13" s="207"/>
      <c r="BAO13" s="207"/>
      <c r="BAP13" s="207"/>
      <c r="BAQ13" s="207"/>
      <c r="BAR13" s="207"/>
      <c r="BAS13" s="207"/>
      <c r="BAT13" s="207"/>
      <c r="BAU13" s="207"/>
      <c r="BAV13" s="207"/>
      <c r="BAW13" s="207"/>
      <c r="BAX13" s="207"/>
      <c r="BAY13" s="207"/>
      <c r="BAZ13" s="207"/>
      <c r="BBA13" s="207"/>
      <c r="BBB13" s="207"/>
      <c r="BBC13" s="207"/>
      <c r="BBD13" s="207"/>
      <c r="BBE13" s="207"/>
      <c r="BBF13" s="207"/>
      <c r="BBG13" s="207"/>
      <c r="BBH13" s="207"/>
      <c r="BBI13" s="207"/>
      <c r="BBJ13" s="207"/>
      <c r="BBK13" s="207"/>
      <c r="BBL13" s="207"/>
      <c r="BBM13" s="207"/>
      <c r="BBN13" s="207"/>
      <c r="BBO13" s="207"/>
      <c r="BBP13" s="207"/>
      <c r="BBQ13" s="207"/>
      <c r="BBR13" s="207"/>
      <c r="BBS13" s="207"/>
      <c r="BBT13" s="207"/>
      <c r="BBU13" s="207"/>
      <c r="BBV13" s="207"/>
      <c r="BBW13" s="207"/>
      <c r="BBX13" s="207"/>
      <c r="BBY13" s="207"/>
      <c r="BBZ13" s="207"/>
      <c r="BCA13" s="207"/>
      <c r="BCB13" s="207"/>
      <c r="BCC13" s="207"/>
      <c r="BCD13" s="207"/>
      <c r="BCE13" s="207"/>
      <c r="BCF13" s="207"/>
      <c r="BCG13" s="207"/>
      <c r="BCH13" s="207"/>
      <c r="BCI13" s="207"/>
      <c r="BCJ13" s="207"/>
      <c r="BCK13" s="207"/>
      <c r="BCL13" s="207"/>
      <c r="BCM13" s="207"/>
      <c r="BCN13" s="207"/>
      <c r="BCO13" s="208"/>
      <c r="BCP13" s="206" t="s">
        <v>53</v>
      </c>
      <c r="BCQ13" s="207"/>
      <c r="BCR13" s="207"/>
      <c r="BCS13" s="207"/>
      <c r="BCT13" s="207"/>
      <c r="BCU13" s="207"/>
      <c r="BCV13" s="207"/>
      <c r="BCW13" s="207"/>
      <c r="BCX13" s="207"/>
      <c r="BCY13" s="207"/>
      <c r="BCZ13" s="207"/>
      <c r="BDA13" s="207"/>
      <c r="BDB13" s="207"/>
      <c r="BDC13" s="207"/>
      <c r="BDD13" s="207"/>
      <c r="BDE13" s="207"/>
      <c r="BDF13" s="207"/>
      <c r="BDG13" s="207"/>
      <c r="BDH13" s="207"/>
      <c r="BDI13" s="207"/>
      <c r="BDJ13" s="207"/>
      <c r="BDK13" s="207"/>
      <c r="BDL13" s="207"/>
      <c r="BDM13" s="207"/>
      <c r="BDN13" s="207"/>
      <c r="BDO13" s="207"/>
      <c r="BDP13" s="207"/>
      <c r="BDQ13" s="207"/>
      <c r="BDR13" s="207"/>
      <c r="BDS13" s="207"/>
      <c r="BDT13" s="207"/>
      <c r="BDU13" s="207"/>
      <c r="BDV13" s="207"/>
      <c r="BDW13" s="207"/>
      <c r="BDX13" s="207"/>
      <c r="BDY13" s="207"/>
      <c r="BDZ13" s="207"/>
      <c r="BEA13" s="207"/>
      <c r="BEB13" s="207"/>
      <c r="BEC13" s="207"/>
      <c r="BED13" s="207"/>
      <c r="BEE13" s="207"/>
      <c r="BEF13" s="207"/>
      <c r="BEG13" s="207"/>
      <c r="BEH13" s="207"/>
      <c r="BEI13" s="207"/>
      <c r="BEJ13" s="207"/>
      <c r="BEK13" s="207"/>
      <c r="BEL13" s="207"/>
      <c r="BEM13" s="207"/>
      <c r="BEN13" s="207"/>
      <c r="BEO13" s="207"/>
      <c r="BEP13" s="207"/>
      <c r="BEQ13" s="207"/>
      <c r="BER13" s="207"/>
      <c r="BES13" s="207"/>
      <c r="BET13" s="207"/>
      <c r="BEU13" s="207"/>
      <c r="BEV13" s="207"/>
      <c r="BEW13" s="208"/>
      <c r="BEX13" s="206" t="s">
        <v>51</v>
      </c>
      <c r="BEY13" s="207"/>
      <c r="BEZ13" s="207"/>
      <c r="BFA13" s="207"/>
      <c r="BFB13" s="207"/>
      <c r="BFC13" s="207"/>
      <c r="BFD13" s="207"/>
      <c r="BFE13" s="207"/>
      <c r="BFF13" s="207"/>
      <c r="BFG13" s="207"/>
      <c r="BFH13" s="207"/>
      <c r="BFI13" s="207"/>
      <c r="BFJ13" s="207"/>
      <c r="BFK13" s="207"/>
      <c r="BFL13" s="207"/>
      <c r="BFM13" s="207"/>
      <c r="BFN13" s="207"/>
      <c r="BFO13" s="207"/>
      <c r="BFP13" s="207"/>
      <c r="BFQ13" s="207"/>
      <c r="BFR13" s="207"/>
      <c r="BFS13" s="207"/>
      <c r="BFT13" s="207"/>
      <c r="BFU13" s="207"/>
      <c r="BFV13" s="207"/>
      <c r="BFW13" s="207"/>
      <c r="BFX13" s="207"/>
      <c r="BFY13" s="207"/>
      <c r="BFZ13" s="207"/>
      <c r="BGA13" s="207"/>
      <c r="BGB13" s="207"/>
      <c r="BGC13" s="207"/>
      <c r="BGD13" s="207"/>
      <c r="BGE13" s="207"/>
      <c r="BGF13" s="207"/>
      <c r="BGG13" s="207"/>
      <c r="BGH13" s="207"/>
      <c r="BGI13" s="207"/>
      <c r="BGJ13" s="207"/>
      <c r="BGK13" s="207"/>
      <c r="BGL13" s="207"/>
      <c r="BGM13" s="207"/>
      <c r="BGN13" s="207"/>
      <c r="BGO13" s="207"/>
      <c r="BGP13" s="207"/>
      <c r="BGQ13" s="207"/>
      <c r="BGR13" s="207"/>
      <c r="BGS13" s="207"/>
      <c r="BGT13" s="207"/>
      <c r="BGU13" s="207"/>
      <c r="BGV13" s="207"/>
      <c r="BGW13" s="207"/>
      <c r="BGX13" s="207"/>
      <c r="BGY13" s="207"/>
      <c r="BGZ13" s="207"/>
      <c r="BHA13" s="207"/>
      <c r="BHB13" s="207"/>
      <c r="BHC13" s="207"/>
      <c r="BHD13" s="207"/>
      <c r="BHE13" s="208"/>
      <c r="BHF13" s="206" t="s">
        <v>50</v>
      </c>
      <c r="BHG13" s="207"/>
      <c r="BHH13" s="207"/>
      <c r="BHI13" s="207"/>
      <c r="BHJ13" s="207"/>
      <c r="BHK13" s="207"/>
      <c r="BHL13" s="207"/>
      <c r="BHM13" s="207"/>
      <c r="BHN13" s="207"/>
      <c r="BHO13" s="207"/>
      <c r="BHP13" s="207"/>
      <c r="BHQ13" s="207"/>
      <c r="BHR13" s="207"/>
      <c r="BHS13" s="207"/>
      <c r="BHT13" s="207"/>
      <c r="BHU13" s="207"/>
      <c r="BHV13" s="207"/>
      <c r="BHW13" s="207"/>
      <c r="BHX13" s="207"/>
      <c r="BHY13" s="207"/>
      <c r="BHZ13" s="207"/>
      <c r="BIA13" s="207"/>
      <c r="BIB13" s="207"/>
      <c r="BIC13" s="207"/>
      <c r="BID13" s="207"/>
      <c r="BIE13" s="207"/>
      <c r="BIF13" s="207"/>
      <c r="BIG13" s="207"/>
      <c r="BIH13" s="207"/>
      <c r="BII13" s="207"/>
      <c r="BIJ13" s="207"/>
      <c r="BIK13" s="207"/>
      <c r="BIL13" s="207"/>
      <c r="BIM13" s="207"/>
      <c r="BIN13" s="207"/>
      <c r="BIO13" s="207"/>
      <c r="BIP13" s="207"/>
      <c r="BIQ13" s="207"/>
      <c r="BIR13" s="207"/>
      <c r="BIS13" s="207"/>
      <c r="BIT13" s="207"/>
      <c r="BIU13" s="207"/>
      <c r="BIV13" s="207"/>
      <c r="BIW13" s="207"/>
      <c r="BIX13" s="207"/>
      <c r="BIY13" s="207"/>
      <c r="BIZ13" s="207"/>
      <c r="BJA13" s="207"/>
      <c r="BJB13" s="207"/>
      <c r="BJC13" s="207"/>
      <c r="BJD13" s="207"/>
      <c r="BJE13" s="207"/>
      <c r="BJF13" s="207"/>
      <c r="BJG13" s="207"/>
      <c r="BJH13" s="207"/>
      <c r="BJI13" s="207"/>
      <c r="BJJ13" s="207"/>
      <c r="BJK13" s="207"/>
      <c r="BJL13" s="207"/>
      <c r="BJM13" s="208"/>
      <c r="BJN13" s="206" t="s">
        <v>49</v>
      </c>
      <c r="BJO13" s="207"/>
      <c r="BJP13" s="207"/>
      <c r="BJQ13" s="207"/>
      <c r="BJR13" s="207"/>
      <c r="BJS13" s="207"/>
      <c r="BJT13" s="207"/>
      <c r="BJU13" s="207"/>
      <c r="BJV13" s="207"/>
      <c r="BJW13" s="207"/>
      <c r="BJX13" s="207"/>
      <c r="BJY13" s="207"/>
      <c r="BJZ13" s="207"/>
      <c r="BKA13" s="207"/>
      <c r="BKB13" s="207"/>
      <c r="BKC13" s="207"/>
      <c r="BKD13" s="207"/>
      <c r="BKE13" s="207"/>
      <c r="BKF13" s="207"/>
      <c r="BKG13" s="207"/>
      <c r="BKH13" s="207"/>
      <c r="BKI13" s="207"/>
      <c r="BKJ13" s="207"/>
      <c r="BKK13" s="207"/>
      <c r="BKL13" s="207"/>
      <c r="BKM13" s="207"/>
      <c r="BKN13" s="207"/>
      <c r="BKO13" s="207"/>
      <c r="BKP13" s="207"/>
      <c r="BKQ13" s="207"/>
      <c r="BKR13" s="207"/>
      <c r="BKS13" s="207"/>
      <c r="BKT13" s="207"/>
      <c r="BKU13" s="207"/>
      <c r="BKV13" s="207"/>
      <c r="BKW13" s="207"/>
      <c r="BKX13" s="207"/>
      <c r="BKY13" s="207"/>
      <c r="BKZ13" s="207"/>
      <c r="BLA13" s="207"/>
      <c r="BLB13" s="207"/>
      <c r="BLC13" s="207"/>
      <c r="BLD13" s="207"/>
      <c r="BLE13" s="207"/>
      <c r="BLF13" s="207"/>
      <c r="BLG13" s="207"/>
      <c r="BLH13" s="207"/>
      <c r="BLI13" s="207"/>
      <c r="BLJ13" s="207"/>
      <c r="BLK13" s="207"/>
      <c r="BLL13" s="207"/>
      <c r="BLM13" s="207"/>
      <c r="BLN13" s="207"/>
      <c r="BLO13" s="207"/>
      <c r="BLP13" s="207"/>
      <c r="BLQ13" s="207"/>
      <c r="BLR13" s="207"/>
      <c r="BLS13" s="207"/>
      <c r="BLT13" s="207"/>
      <c r="BLU13" s="208"/>
    </row>
    <row r="14" spans="1:1744" ht="12.75" customHeight="1" thickBot="1" x14ac:dyDescent="0.35">
      <c r="B14" s="96"/>
      <c r="C14" s="218"/>
      <c r="D14" s="145"/>
      <c r="E14" s="220"/>
      <c r="F14" s="103"/>
      <c r="G14" s="104"/>
      <c r="H14" s="104"/>
      <c r="I14" s="104"/>
      <c r="J14" s="209" t="s">
        <v>33</v>
      </c>
      <c r="K14" s="209"/>
      <c r="L14" s="209"/>
      <c r="M14" s="209"/>
      <c r="N14" s="104"/>
      <c r="O14" s="104"/>
      <c r="P14" s="210" t="s">
        <v>23</v>
      </c>
      <c r="Q14" s="210"/>
      <c r="R14" s="210"/>
      <c r="S14" s="210"/>
      <c r="T14" s="129"/>
      <c r="U14" s="129"/>
      <c r="V14" s="209" t="s">
        <v>34</v>
      </c>
      <c r="W14" s="209"/>
      <c r="X14" s="209"/>
      <c r="Y14" s="209"/>
      <c r="Z14" s="104"/>
      <c r="AA14" s="104"/>
      <c r="AB14" s="210" t="s">
        <v>24</v>
      </c>
      <c r="AC14" s="210"/>
      <c r="AD14" s="210"/>
      <c r="AE14" s="210"/>
      <c r="AF14" s="129"/>
      <c r="AG14" s="129"/>
      <c r="AH14" s="209" t="s">
        <v>35</v>
      </c>
      <c r="AI14" s="209"/>
      <c r="AJ14" s="209"/>
      <c r="AK14" s="209"/>
      <c r="AL14" s="104"/>
      <c r="AM14" s="104"/>
      <c r="AN14" s="210" t="s">
        <v>25</v>
      </c>
      <c r="AO14" s="210"/>
      <c r="AP14" s="210"/>
      <c r="AQ14" s="210"/>
      <c r="AR14" s="129"/>
      <c r="AS14" s="129"/>
      <c r="AT14" s="209" t="s">
        <v>36</v>
      </c>
      <c r="AU14" s="209"/>
      <c r="AV14" s="209"/>
      <c r="AW14" s="209"/>
      <c r="AX14" s="104"/>
      <c r="AY14" s="104"/>
      <c r="AZ14" s="210" t="s">
        <v>26</v>
      </c>
      <c r="BA14" s="210"/>
      <c r="BB14" s="210"/>
      <c r="BC14" s="210"/>
      <c r="BD14" s="129"/>
      <c r="BE14" s="129"/>
      <c r="BF14" s="209" t="s">
        <v>37</v>
      </c>
      <c r="BG14" s="209"/>
      <c r="BH14" s="209"/>
      <c r="BI14" s="209"/>
      <c r="BJ14" s="104"/>
      <c r="BK14" s="104"/>
      <c r="BL14" s="104"/>
      <c r="BM14" s="105"/>
      <c r="BN14" s="103"/>
      <c r="BO14" s="104"/>
      <c r="BP14" s="104"/>
      <c r="BQ14" s="104"/>
      <c r="BR14" s="209" t="s">
        <v>33</v>
      </c>
      <c r="BS14" s="209"/>
      <c r="BT14" s="209"/>
      <c r="BU14" s="209"/>
      <c r="BV14" s="104"/>
      <c r="BW14" s="104"/>
      <c r="BX14" s="210" t="s">
        <v>23</v>
      </c>
      <c r="BY14" s="210"/>
      <c r="BZ14" s="210"/>
      <c r="CA14" s="210"/>
      <c r="CB14" s="129"/>
      <c r="CC14" s="129"/>
      <c r="CD14" s="209" t="s">
        <v>34</v>
      </c>
      <c r="CE14" s="209"/>
      <c r="CF14" s="209"/>
      <c r="CG14" s="209"/>
      <c r="CH14" s="104"/>
      <c r="CI14" s="104"/>
      <c r="CJ14" s="210" t="s">
        <v>24</v>
      </c>
      <c r="CK14" s="210"/>
      <c r="CL14" s="210"/>
      <c r="CM14" s="210"/>
      <c r="CN14" s="129"/>
      <c r="CO14" s="129"/>
      <c r="CP14" s="209" t="s">
        <v>35</v>
      </c>
      <c r="CQ14" s="209"/>
      <c r="CR14" s="209"/>
      <c r="CS14" s="209"/>
      <c r="CT14" s="104"/>
      <c r="CU14" s="104"/>
      <c r="CV14" s="210" t="s">
        <v>25</v>
      </c>
      <c r="CW14" s="210"/>
      <c r="CX14" s="210"/>
      <c r="CY14" s="210"/>
      <c r="CZ14" s="129"/>
      <c r="DA14" s="129"/>
      <c r="DB14" s="209" t="s">
        <v>36</v>
      </c>
      <c r="DC14" s="209"/>
      <c r="DD14" s="209"/>
      <c r="DE14" s="209"/>
      <c r="DF14" s="104"/>
      <c r="DG14" s="104"/>
      <c r="DH14" s="210" t="s">
        <v>26</v>
      </c>
      <c r="DI14" s="210"/>
      <c r="DJ14" s="210"/>
      <c r="DK14" s="210"/>
      <c r="DL14" s="129"/>
      <c r="DM14" s="129"/>
      <c r="DN14" s="209" t="s">
        <v>37</v>
      </c>
      <c r="DO14" s="209"/>
      <c r="DP14" s="209"/>
      <c r="DQ14" s="209"/>
      <c r="DR14" s="104"/>
      <c r="DS14" s="104"/>
      <c r="DT14" s="104"/>
      <c r="DU14" s="105"/>
      <c r="DV14" s="103"/>
      <c r="DW14" s="104"/>
      <c r="DX14" s="104"/>
      <c r="DY14" s="104"/>
      <c r="DZ14" s="209" t="s">
        <v>33</v>
      </c>
      <c r="EA14" s="209"/>
      <c r="EB14" s="209"/>
      <c r="EC14" s="209"/>
      <c r="ED14" s="104"/>
      <c r="EE14" s="104"/>
      <c r="EF14" s="210" t="s">
        <v>23</v>
      </c>
      <c r="EG14" s="210"/>
      <c r="EH14" s="210"/>
      <c r="EI14" s="210"/>
      <c r="EJ14" s="129"/>
      <c r="EK14" s="129"/>
      <c r="EL14" s="209" t="s">
        <v>34</v>
      </c>
      <c r="EM14" s="209"/>
      <c r="EN14" s="209"/>
      <c r="EO14" s="209"/>
      <c r="EP14" s="104"/>
      <c r="EQ14" s="104"/>
      <c r="ER14" s="210" t="s">
        <v>24</v>
      </c>
      <c r="ES14" s="210"/>
      <c r="ET14" s="210"/>
      <c r="EU14" s="210"/>
      <c r="EV14" s="129"/>
      <c r="EW14" s="129"/>
      <c r="EX14" s="209" t="s">
        <v>35</v>
      </c>
      <c r="EY14" s="209"/>
      <c r="EZ14" s="209"/>
      <c r="FA14" s="209"/>
      <c r="FB14" s="104"/>
      <c r="FC14" s="104"/>
      <c r="FD14" s="210" t="s">
        <v>25</v>
      </c>
      <c r="FE14" s="210"/>
      <c r="FF14" s="210"/>
      <c r="FG14" s="210"/>
      <c r="FH14" s="129"/>
      <c r="FI14" s="129"/>
      <c r="FJ14" s="209" t="s">
        <v>36</v>
      </c>
      <c r="FK14" s="209"/>
      <c r="FL14" s="209"/>
      <c r="FM14" s="209"/>
      <c r="FN14" s="104"/>
      <c r="FO14" s="104"/>
      <c r="FP14" s="210" t="s">
        <v>26</v>
      </c>
      <c r="FQ14" s="210"/>
      <c r="FR14" s="210"/>
      <c r="FS14" s="210"/>
      <c r="FT14" s="129"/>
      <c r="FU14" s="129"/>
      <c r="FV14" s="209" t="s">
        <v>37</v>
      </c>
      <c r="FW14" s="209"/>
      <c r="FX14" s="209"/>
      <c r="FY14" s="209"/>
      <c r="FZ14" s="104"/>
      <c r="GA14" s="104"/>
      <c r="GB14" s="104"/>
      <c r="GC14" s="105"/>
      <c r="GD14" s="103"/>
      <c r="GE14" s="104"/>
      <c r="GF14" s="104"/>
      <c r="GG14" s="104"/>
      <c r="GH14" s="209" t="s">
        <v>33</v>
      </c>
      <c r="GI14" s="209"/>
      <c r="GJ14" s="209"/>
      <c r="GK14" s="209"/>
      <c r="GL14" s="104"/>
      <c r="GM14" s="104"/>
      <c r="GN14" s="210" t="s">
        <v>23</v>
      </c>
      <c r="GO14" s="210"/>
      <c r="GP14" s="210"/>
      <c r="GQ14" s="210"/>
      <c r="GR14" s="129"/>
      <c r="GS14" s="129"/>
      <c r="GT14" s="209" t="s">
        <v>34</v>
      </c>
      <c r="GU14" s="209"/>
      <c r="GV14" s="209"/>
      <c r="GW14" s="209"/>
      <c r="GX14" s="104"/>
      <c r="GY14" s="104"/>
      <c r="GZ14" s="210" t="s">
        <v>24</v>
      </c>
      <c r="HA14" s="210"/>
      <c r="HB14" s="210"/>
      <c r="HC14" s="210"/>
      <c r="HD14" s="129"/>
      <c r="HE14" s="129"/>
      <c r="HF14" s="209" t="s">
        <v>35</v>
      </c>
      <c r="HG14" s="209"/>
      <c r="HH14" s="209"/>
      <c r="HI14" s="209"/>
      <c r="HJ14" s="104"/>
      <c r="HK14" s="104"/>
      <c r="HL14" s="210" t="s">
        <v>25</v>
      </c>
      <c r="HM14" s="210"/>
      <c r="HN14" s="210"/>
      <c r="HO14" s="210"/>
      <c r="HP14" s="129"/>
      <c r="HQ14" s="129"/>
      <c r="HR14" s="209" t="s">
        <v>36</v>
      </c>
      <c r="HS14" s="209"/>
      <c r="HT14" s="209"/>
      <c r="HU14" s="209"/>
      <c r="HV14" s="104"/>
      <c r="HW14" s="104"/>
      <c r="HX14" s="210" t="s">
        <v>26</v>
      </c>
      <c r="HY14" s="210"/>
      <c r="HZ14" s="210"/>
      <c r="IA14" s="210"/>
      <c r="IB14" s="129"/>
      <c r="IC14" s="129"/>
      <c r="ID14" s="209" t="s">
        <v>37</v>
      </c>
      <c r="IE14" s="209"/>
      <c r="IF14" s="209"/>
      <c r="IG14" s="209"/>
      <c r="IH14" s="104"/>
      <c r="II14" s="104"/>
      <c r="IJ14" s="104"/>
      <c r="IK14" s="105"/>
      <c r="IL14" s="103"/>
      <c r="IM14" s="104"/>
      <c r="IN14" s="104"/>
      <c r="IO14" s="104"/>
      <c r="IP14" s="209" t="s">
        <v>33</v>
      </c>
      <c r="IQ14" s="209"/>
      <c r="IR14" s="209"/>
      <c r="IS14" s="209"/>
      <c r="IT14" s="104"/>
      <c r="IU14" s="104"/>
      <c r="IV14" s="210" t="s">
        <v>23</v>
      </c>
      <c r="IW14" s="210"/>
      <c r="IX14" s="210"/>
      <c r="IY14" s="210"/>
      <c r="IZ14" s="129"/>
      <c r="JA14" s="129"/>
      <c r="JB14" s="209" t="s">
        <v>34</v>
      </c>
      <c r="JC14" s="209"/>
      <c r="JD14" s="209"/>
      <c r="JE14" s="209"/>
      <c r="JF14" s="104"/>
      <c r="JG14" s="104"/>
      <c r="JH14" s="210" t="s">
        <v>24</v>
      </c>
      <c r="JI14" s="210"/>
      <c r="JJ14" s="210"/>
      <c r="JK14" s="210"/>
      <c r="JL14" s="129"/>
      <c r="JM14" s="129"/>
      <c r="JN14" s="209" t="s">
        <v>35</v>
      </c>
      <c r="JO14" s="209"/>
      <c r="JP14" s="209"/>
      <c r="JQ14" s="209"/>
      <c r="JR14" s="104"/>
      <c r="JS14" s="104"/>
      <c r="JT14" s="210" t="s">
        <v>25</v>
      </c>
      <c r="JU14" s="210"/>
      <c r="JV14" s="210"/>
      <c r="JW14" s="210"/>
      <c r="JX14" s="129"/>
      <c r="JY14" s="129"/>
      <c r="JZ14" s="209" t="s">
        <v>36</v>
      </c>
      <c r="KA14" s="209"/>
      <c r="KB14" s="209"/>
      <c r="KC14" s="209"/>
      <c r="KD14" s="104"/>
      <c r="KE14" s="104"/>
      <c r="KF14" s="210" t="s">
        <v>26</v>
      </c>
      <c r="KG14" s="210"/>
      <c r="KH14" s="210"/>
      <c r="KI14" s="210"/>
      <c r="KJ14" s="129"/>
      <c r="KK14" s="129"/>
      <c r="KL14" s="209" t="s">
        <v>37</v>
      </c>
      <c r="KM14" s="209"/>
      <c r="KN14" s="209"/>
      <c r="KO14" s="209"/>
      <c r="KP14" s="104"/>
      <c r="KQ14" s="104"/>
      <c r="KR14" s="104"/>
      <c r="KS14" s="105"/>
      <c r="KT14" s="103"/>
      <c r="KU14" s="104"/>
      <c r="KV14" s="104"/>
      <c r="KW14" s="104"/>
      <c r="KX14" s="209" t="s">
        <v>33</v>
      </c>
      <c r="KY14" s="209"/>
      <c r="KZ14" s="209"/>
      <c r="LA14" s="209"/>
      <c r="LB14" s="104"/>
      <c r="LC14" s="104"/>
      <c r="LD14" s="210" t="s">
        <v>23</v>
      </c>
      <c r="LE14" s="210"/>
      <c r="LF14" s="210"/>
      <c r="LG14" s="210"/>
      <c r="LH14" s="129"/>
      <c r="LI14" s="129"/>
      <c r="LJ14" s="209" t="s">
        <v>34</v>
      </c>
      <c r="LK14" s="209"/>
      <c r="LL14" s="209"/>
      <c r="LM14" s="209"/>
      <c r="LN14" s="104"/>
      <c r="LO14" s="104"/>
      <c r="LP14" s="210" t="s">
        <v>24</v>
      </c>
      <c r="LQ14" s="210"/>
      <c r="LR14" s="210"/>
      <c r="LS14" s="210"/>
      <c r="LT14" s="129"/>
      <c r="LU14" s="129"/>
      <c r="LV14" s="209" t="s">
        <v>35</v>
      </c>
      <c r="LW14" s="209"/>
      <c r="LX14" s="209"/>
      <c r="LY14" s="209"/>
      <c r="LZ14" s="104"/>
      <c r="MA14" s="104"/>
      <c r="MB14" s="210" t="s">
        <v>25</v>
      </c>
      <c r="MC14" s="210"/>
      <c r="MD14" s="210"/>
      <c r="ME14" s="210"/>
      <c r="MF14" s="129"/>
      <c r="MG14" s="129"/>
      <c r="MH14" s="209" t="s">
        <v>36</v>
      </c>
      <c r="MI14" s="209"/>
      <c r="MJ14" s="209"/>
      <c r="MK14" s="209"/>
      <c r="ML14" s="104"/>
      <c r="MM14" s="104"/>
      <c r="MN14" s="210" t="s">
        <v>26</v>
      </c>
      <c r="MO14" s="210"/>
      <c r="MP14" s="210"/>
      <c r="MQ14" s="210"/>
      <c r="MR14" s="129"/>
      <c r="MS14" s="129"/>
      <c r="MT14" s="209" t="s">
        <v>37</v>
      </c>
      <c r="MU14" s="209"/>
      <c r="MV14" s="209"/>
      <c r="MW14" s="209"/>
      <c r="MX14" s="104"/>
      <c r="MY14" s="104"/>
      <c r="MZ14" s="104"/>
      <c r="NA14" s="105"/>
      <c r="NB14" s="103"/>
      <c r="NC14" s="104"/>
      <c r="ND14" s="104"/>
      <c r="NE14" s="104"/>
      <c r="NF14" s="209" t="s">
        <v>33</v>
      </c>
      <c r="NG14" s="209"/>
      <c r="NH14" s="209"/>
      <c r="NI14" s="209"/>
      <c r="NJ14" s="104"/>
      <c r="NK14" s="104"/>
      <c r="NL14" s="210" t="s">
        <v>23</v>
      </c>
      <c r="NM14" s="210"/>
      <c r="NN14" s="210"/>
      <c r="NO14" s="210"/>
      <c r="NP14" s="129"/>
      <c r="NQ14" s="129"/>
      <c r="NR14" s="209" t="s">
        <v>34</v>
      </c>
      <c r="NS14" s="209"/>
      <c r="NT14" s="209"/>
      <c r="NU14" s="209"/>
      <c r="NV14" s="104"/>
      <c r="NW14" s="104"/>
      <c r="NX14" s="210" t="s">
        <v>24</v>
      </c>
      <c r="NY14" s="210"/>
      <c r="NZ14" s="210"/>
      <c r="OA14" s="210"/>
      <c r="OB14" s="129"/>
      <c r="OC14" s="129"/>
      <c r="OD14" s="209" t="s">
        <v>35</v>
      </c>
      <c r="OE14" s="209"/>
      <c r="OF14" s="209"/>
      <c r="OG14" s="209"/>
      <c r="OH14" s="104"/>
      <c r="OI14" s="104"/>
      <c r="OJ14" s="210" t="s">
        <v>25</v>
      </c>
      <c r="OK14" s="210"/>
      <c r="OL14" s="210"/>
      <c r="OM14" s="210"/>
      <c r="ON14" s="129"/>
      <c r="OO14" s="129"/>
      <c r="OP14" s="209" t="s">
        <v>36</v>
      </c>
      <c r="OQ14" s="209"/>
      <c r="OR14" s="209"/>
      <c r="OS14" s="209"/>
      <c r="OT14" s="104"/>
      <c r="OU14" s="104"/>
      <c r="OV14" s="210" t="s">
        <v>26</v>
      </c>
      <c r="OW14" s="210"/>
      <c r="OX14" s="210"/>
      <c r="OY14" s="210"/>
      <c r="OZ14" s="129"/>
      <c r="PA14" s="129"/>
      <c r="PB14" s="209" t="s">
        <v>37</v>
      </c>
      <c r="PC14" s="209"/>
      <c r="PD14" s="209"/>
      <c r="PE14" s="209"/>
      <c r="PF14" s="104"/>
      <c r="PG14" s="104"/>
      <c r="PH14" s="104"/>
      <c r="PI14" s="105"/>
      <c r="PJ14" s="103"/>
      <c r="PK14" s="104"/>
      <c r="PL14" s="104"/>
      <c r="PM14" s="104"/>
      <c r="PN14" s="209" t="s">
        <v>33</v>
      </c>
      <c r="PO14" s="209"/>
      <c r="PP14" s="209"/>
      <c r="PQ14" s="209"/>
      <c r="PR14" s="104"/>
      <c r="PS14" s="104"/>
      <c r="PT14" s="210" t="s">
        <v>23</v>
      </c>
      <c r="PU14" s="210"/>
      <c r="PV14" s="210"/>
      <c r="PW14" s="210"/>
      <c r="PX14" s="129"/>
      <c r="PY14" s="129"/>
      <c r="PZ14" s="209" t="s">
        <v>34</v>
      </c>
      <c r="QA14" s="209"/>
      <c r="QB14" s="209"/>
      <c r="QC14" s="209"/>
      <c r="QD14" s="104"/>
      <c r="QE14" s="104"/>
      <c r="QF14" s="210" t="s">
        <v>24</v>
      </c>
      <c r="QG14" s="210"/>
      <c r="QH14" s="210"/>
      <c r="QI14" s="210"/>
      <c r="QJ14" s="129"/>
      <c r="QK14" s="129"/>
      <c r="QL14" s="209" t="s">
        <v>35</v>
      </c>
      <c r="QM14" s="209"/>
      <c r="QN14" s="209"/>
      <c r="QO14" s="209"/>
      <c r="QP14" s="104"/>
      <c r="QQ14" s="104"/>
      <c r="QR14" s="210" t="s">
        <v>25</v>
      </c>
      <c r="QS14" s="210"/>
      <c r="QT14" s="210"/>
      <c r="QU14" s="210"/>
      <c r="QV14" s="129"/>
      <c r="QW14" s="129"/>
      <c r="QX14" s="209" t="s">
        <v>36</v>
      </c>
      <c r="QY14" s="209"/>
      <c r="QZ14" s="209"/>
      <c r="RA14" s="209"/>
      <c r="RB14" s="104"/>
      <c r="RC14" s="104"/>
      <c r="RD14" s="210" t="s">
        <v>26</v>
      </c>
      <c r="RE14" s="210"/>
      <c r="RF14" s="210"/>
      <c r="RG14" s="210"/>
      <c r="RH14" s="129"/>
      <c r="RI14" s="129"/>
      <c r="RJ14" s="209" t="s">
        <v>37</v>
      </c>
      <c r="RK14" s="209"/>
      <c r="RL14" s="209"/>
      <c r="RM14" s="209"/>
      <c r="RN14" s="104"/>
      <c r="RO14" s="104"/>
      <c r="RP14" s="104"/>
      <c r="RQ14" s="105"/>
      <c r="RR14" s="103"/>
      <c r="RS14" s="104"/>
      <c r="RT14" s="104"/>
      <c r="RU14" s="104"/>
      <c r="RV14" s="209" t="s">
        <v>33</v>
      </c>
      <c r="RW14" s="209"/>
      <c r="RX14" s="209"/>
      <c r="RY14" s="209"/>
      <c r="RZ14" s="104"/>
      <c r="SA14" s="104"/>
      <c r="SB14" s="210" t="s">
        <v>23</v>
      </c>
      <c r="SC14" s="210"/>
      <c r="SD14" s="210"/>
      <c r="SE14" s="210"/>
      <c r="SF14" s="129"/>
      <c r="SG14" s="129"/>
      <c r="SH14" s="209" t="s">
        <v>34</v>
      </c>
      <c r="SI14" s="209"/>
      <c r="SJ14" s="209"/>
      <c r="SK14" s="209"/>
      <c r="SL14" s="104"/>
      <c r="SM14" s="104"/>
      <c r="SN14" s="210" t="s">
        <v>24</v>
      </c>
      <c r="SO14" s="210"/>
      <c r="SP14" s="210"/>
      <c r="SQ14" s="210"/>
      <c r="SR14" s="129"/>
      <c r="SS14" s="129"/>
      <c r="ST14" s="209" t="s">
        <v>35</v>
      </c>
      <c r="SU14" s="209"/>
      <c r="SV14" s="209"/>
      <c r="SW14" s="209"/>
      <c r="SX14" s="104"/>
      <c r="SY14" s="104"/>
      <c r="SZ14" s="210" t="s">
        <v>25</v>
      </c>
      <c r="TA14" s="210"/>
      <c r="TB14" s="210"/>
      <c r="TC14" s="210"/>
      <c r="TD14" s="129"/>
      <c r="TE14" s="129"/>
      <c r="TF14" s="209" t="s">
        <v>36</v>
      </c>
      <c r="TG14" s="209"/>
      <c r="TH14" s="209"/>
      <c r="TI14" s="209"/>
      <c r="TJ14" s="104"/>
      <c r="TK14" s="104"/>
      <c r="TL14" s="210" t="s">
        <v>26</v>
      </c>
      <c r="TM14" s="210"/>
      <c r="TN14" s="210"/>
      <c r="TO14" s="210"/>
      <c r="TP14" s="129"/>
      <c r="TQ14" s="129"/>
      <c r="TR14" s="209" t="s">
        <v>37</v>
      </c>
      <c r="TS14" s="209"/>
      <c r="TT14" s="209"/>
      <c r="TU14" s="209"/>
      <c r="TV14" s="104"/>
      <c r="TW14" s="104"/>
      <c r="TX14" s="104"/>
      <c r="TY14" s="105"/>
      <c r="TZ14" s="103"/>
      <c r="UA14" s="104"/>
      <c r="UB14" s="104"/>
      <c r="UC14" s="104"/>
      <c r="UD14" s="209" t="s">
        <v>33</v>
      </c>
      <c r="UE14" s="209"/>
      <c r="UF14" s="209"/>
      <c r="UG14" s="209"/>
      <c r="UH14" s="104"/>
      <c r="UI14" s="104"/>
      <c r="UJ14" s="210" t="s">
        <v>23</v>
      </c>
      <c r="UK14" s="210"/>
      <c r="UL14" s="210"/>
      <c r="UM14" s="210"/>
      <c r="UN14" s="129"/>
      <c r="UO14" s="129"/>
      <c r="UP14" s="209" t="s">
        <v>34</v>
      </c>
      <c r="UQ14" s="209"/>
      <c r="UR14" s="209"/>
      <c r="US14" s="209"/>
      <c r="UT14" s="104"/>
      <c r="UU14" s="104"/>
      <c r="UV14" s="210" t="s">
        <v>24</v>
      </c>
      <c r="UW14" s="210"/>
      <c r="UX14" s="210"/>
      <c r="UY14" s="210"/>
      <c r="UZ14" s="129"/>
      <c r="VA14" s="129"/>
      <c r="VB14" s="209" t="s">
        <v>35</v>
      </c>
      <c r="VC14" s="209"/>
      <c r="VD14" s="209"/>
      <c r="VE14" s="209"/>
      <c r="VF14" s="104"/>
      <c r="VG14" s="104"/>
      <c r="VH14" s="210" t="s">
        <v>25</v>
      </c>
      <c r="VI14" s="210"/>
      <c r="VJ14" s="210"/>
      <c r="VK14" s="210"/>
      <c r="VL14" s="129"/>
      <c r="VM14" s="129"/>
      <c r="VN14" s="209" t="s">
        <v>36</v>
      </c>
      <c r="VO14" s="209"/>
      <c r="VP14" s="209"/>
      <c r="VQ14" s="209"/>
      <c r="VR14" s="104"/>
      <c r="VS14" s="104"/>
      <c r="VT14" s="210" t="s">
        <v>26</v>
      </c>
      <c r="VU14" s="210"/>
      <c r="VV14" s="210"/>
      <c r="VW14" s="210"/>
      <c r="VX14" s="129"/>
      <c r="VY14" s="129"/>
      <c r="VZ14" s="209" t="s">
        <v>37</v>
      </c>
      <c r="WA14" s="209"/>
      <c r="WB14" s="209"/>
      <c r="WC14" s="209"/>
      <c r="WD14" s="104"/>
      <c r="WE14" s="104"/>
      <c r="WF14" s="104"/>
      <c r="WG14" s="105"/>
      <c r="WH14" s="103"/>
      <c r="WI14" s="104"/>
      <c r="WJ14" s="104"/>
      <c r="WK14" s="104"/>
      <c r="WL14" s="209" t="s">
        <v>33</v>
      </c>
      <c r="WM14" s="209"/>
      <c r="WN14" s="209"/>
      <c r="WO14" s="209"/>
      <c r="WP14" s="104"/>
      <c r="WQ14" s="104"/>
      <c r="WR14" s="210" t="s">
        <v>23</v>
      </c>
      <c r="WS14" s="210"/>
      <c r="WT14" s="210"/>
      <c r="WU14" s="210"/>
      <c r="WV14" s="129"/>
      <c r="WW14" s="129"/>
      <c r="WX14" s="209" t="s">
        <v>34</v>
      </c>
      <c r="WY14" s="209"/>
      <c r="WZ14" s="209"/>
      <c r="XA14" s="209"/>
      <c r="XB14" s="104"/>
      <c r="XC14" s="104"/>
      <c r="XD14" s="210" t="s">
        <v>24</v>
      </c>
      <c r="XE14" s="210"/>
      <c r="XF14" s="210"/>
      <c r="XG14" s="210"/>
      <c r="XH14" s="129"/>
      <c r="XI14" s="129"/>
      <c r="XJ14" s="209" t="s">
        <v>35</v>
      </c>
      <c r="XK14" s="209"/>
      <c r="XL14" s="209"/>
      <c r="XM14" s="209"/>
      <c r="XN14" s="104"/>
      <c r="XO14" s="104"/>
      <c r="XP14" s="210" t="s">
        <v>25</v>
      </c>
      <c r="XQ14" s="210"/>
      <c r="XR14" s="210"/>
      <c r="XS14" s="210"/>
      <c r="XT14" s="129"/>
      <c r="XU14" s="129"/>
      <c r="XV14" s="209" t="s">
        <v>36</v>
      </c>
      <c r="XW14" s="209"/>
      <c r="XX14" s="209"/>
      <c r="XY14" s="209"/>
      <c r="XZ14" s="104"/>
      <c r="YA14" s="104"/>
      <c r="YB14" s="210" t="s">
        <v>26</v>
      </c>
      <c r="YC14" s="210"/>
      <c r="YD14" s="210"/>
      <c r="YE14" s="210"/>
      <c r="YF14" s="129"/>
      <c r="YG14" s="129"/>
      <c r="YH14" s="209" t="s">
        <v>37</v>
      </c>
      <c r="YI14" s="209"/>
      <c r="YJ14" s="209"/>
      <c r="YK14" s="209"/>
      <c r="YL14" s="104"/>
      <c r="YM14" s="104"/>
      <c r="YN14" s="104"/>
      <c r="YO14" s="105"/>
      <c r="YP14" s="103"/>
      <c r="YQ14" s="104"/>
      <c r="YR14" s="104"/>
      <c r="YS14" s="104"/>
      <c r="YT14" s="209" t="s">
        <v>33</v>
      </c>
      <c r="YU14" s="209"/>
      <c r="YV14" s="209"/>
      <c r="YW14" s="209"/>
      <c r="YX14" s="104"/>
      <c r="YY14" s="104"/>
      <c r="YZ14" s="210" t="s">
        <v>23</v>
      </c>
      <c r="ZA14" s="210"/>
      <c r="ZB14" s="210"/>
      <c r="ZC14" s="210"/>
      <c r="ZD14" s="129"/>
      <c r="ZE14" s="129"/>
      <c r="ZF14" s="209" t="s">
        <v>34</v>
      </c>
      <c r="ZG14" s="209"/>
      <c r="ZH14" s="209"/>
      <c r="ZI14" s="209"/>
      <c r="ZJ14" s="104"/>
      <c r="ZK14" s="104"/>
      <c r="ZL14" s="210" t="s">
        <v>24</v>
      </c>
      <c r="ZM14" s="210"/>
      <c r="ZN14" s="210"/>
      <c r="ZO14" s="210"/>
      <c r="ZP14" s="129"/>
      <c r="ZQ14" s="129"/>
      <c r="ZR14" s="209" t="s">
        <v>35</v>
      </c>
      <c r="ZS14" s="209"/>
      <c r="ZT14" s="209"/>
      <c r="ZU14" s="209"/>
      <c r="ZV14" s="104"/>
      <c r="ZW14" s="104"/>
      <c r="ZX14" s="210" t="s">
        <v>25</v>
      </c>
      <c r="ZY14" s="210"/>
      <c r="ZZ14" s="210"/>
      <c r="AAA14" s="210"/>
      <c r="AAB14" s="129"/>
      <c r="AAC14" s="129"/>
      <c r="AAD14" s="209" t="s">
        <v>36</v>
      </c>
      <c r="AAE14" s="209"/>
      <c r="AAF14" s="209"/>
      <c r="AAG14" s="209"/>
      <c r="AAH14" s="104"/>
      <c r="AAI14" s="104"/>
      <c r="AAJ14" s="210" t="s">
        <v>26</v>
      </c>
      <c r="AAK14" s="210"/>
      <c r="AAL14" s="210"/>
      <c r="AAM14" s="210"/>
      <c r="AAN14" s="129"/>
      <c r="AAO14" s="129"/>
      <c r="AAP14" s="209" t="s">
        <v>37</v>
      </c>
      <c r="AAQ14" s="209"/>
      <c r="AAR14" s="209"/>
      <c r="AAS14" s="209"/>
      <c r="AAT14" s="104"/>
      <c r="AAU14" s="104"/>
      <c r="AAV14" s="104"/>
      <c r="AAW14" s="105"/>
      <c r="AAX14" s="103"/>
      <c r="AAY14" s="104"/>
      <c r="AAZ14" s="104"/>
      <c r="ABA14" s="104"/>
      <c r="ABB14" s="209" t="s">
        <v>33</v>
      </c>
      <c r="ABC14" s="209"/>
      <c r="ABD14" s="209"/>
      <c r="ABE14" s="209"/>
      <c r="ABF14" s="104"/>
      <c r="ABG14" s="104"/>
      <c r="ABH14" s="210" t="s">
        <v>23</v>
      </c>
      <c r="ABI14" s="210"/>
      <c r="ABJ14" s="210"/>
      <c r="ABK14" s="210"/>
      <c r="ABL14" s="129"/>
      <c r="ABM14" s="129"/>
      <c r="ABN14" s="209" t="s">
        <v>34</v>
      </c>
      <c r="ABO14" s="209"/>
      <c r="ABP14" s="209"/>
      <c r="ABQ14" s="209"/>
      <c r="ABR14" s="104"/>
      <c r="ABS14" s="104"/>
      <c r="ABT14" s="210" t="s">
        <v>24</v>
      </c>
      <c r="ABU14" s="210"/>
      <c r="ABV14" s="210"/>
      <c r="ABW14" s="210"/>
      <c r="ABX14" s="129"/>
      <c r="ABY14" s="129"/>
      <c r="ABZ14" s="209" t="s">
        <v>35</v>
      </c>
      <c r="ACA14" s="209"/>
      <c r="ACB14" s="209"/>
      <c r="ACC14" s="209"/>
      <c r="ACD14" s="104"/>
      <c r="ACE14" s="104"/>
      <c r="ACF14" s="210" t="s">
        <v>25</v>
      </c>
      <c r="ACG14" s="210"/>
      <c r="ACH14" s="210"/>
      <c r="ACI14" s="210"/>
      <c r="ACJ14" s="129"/>
      <c r="ACK14" s="129"/>
      <c r="ACL14" s="209" t="s">
        <v>36</v>
      </c>
      <c r="ACM14" s="209"/>
      <c r="ACN14" s="209"/>
      <c r="ACO14" s="209"/>
      <c r="ACP14" s="104"/>
      <c r="ACQ14" s="104"/>
      <c r="ACR14" s="210" t="s">
        <v>26</v>
      </c>
      <c r="ACS14" s="210"/>
      <c r="ACT14" s="210"/>
      <c r="ACU14" s="210"/>
      <c r="ACV14" s="129"/>
      <c r="ACW14" s="129"/>
      <c r="ACX14" s="209" t="s">
        <v>37</v>
      </c>
      <c r="ACY14" s="209"/>
      <c r="ACZ14" s="209"/>
      <c r="ADA14" s="209"/>
      <c r="ADB14" s="104"/>
      <c r="ADC14" s="104"/>
      <c r="ADD14" s="104"/>
      <c r="ADE14" s="105"/>
      <c r="ADF14" s="103"/>
      <c r="ADG14" s="104"/>
      <c r="ADH14" s="104"/>
      <c r="ADI14" s="104"/>
      <c r="ADJ14" s="209" t="s">
        <v>33</v>
      </c>
      <c r="ADK14" s="209"/>
      <c r="ADL14" s="209"/>
      <c r="ADM14" s="209"/>
      <c r="ADN14" s="104"/>
      <c r="ADO14" s="104"/>
      <c r="ADP14" s="210" t="s">
        <v>23</v>
      </c>
      <c r="ADQ14" s="210"/>
      <c r="ADR14" s="210"/>
      <c r="ADS14" s="210"/>
      <c r="ADT14" s="129"/>
      <c r="ADU14" s="129"/>
      <c r="ADV14" s="209" t="s">
        <v>34</v>
      </c>
      <c r="ADW14" s="209"/>
      <c r="ADX14" s="209"/>
      <c r="ADY14" s="209"/>
      <c r="ADZ14" s="104"/>
      <c r="AEA14" s="104"/>
      <c r="AEB14" s="210" t="s">
        <v>24</v>
      </c>
      <c r="AEC14" s="210"/>
      <c r="AED14" s="210"/>
      <c r="AEE14" s="210"/>
      <c r="AEF14" s="129"/>
      <c r="AEG14" s="129"/>
      <c r="AEH14" s="209" t="s">
        <v>35</v>
      </c>
      <c r="AEI14" s="209"/>
      <c r="AEJ14" s="209"/>
      <c r="AEK14" s="209"/>
      <c r="AEL14" s="104"/>
      <c r="AEM14" s="104"/>
      <c r="AEN14" s="210" t="s">
        <v>25</v>
      </c>
      <c r="AEO14" s="210"/>
      <c r="AEP14" s="210"/>
      <c r="AEQ14" s="210"/>
      <c r="AER14" s="129"/>
      <c r="AES14" s="129"/>
      <c r="AET14" s="209" t="s">
        <v>36</v>
      </c>
      <c r="AEU14" s="209"/>
      <c r="AEV14" s="209"/>
      <c r="AEW14" s="209"/>
      <c r="AEX14" s="104"/>
      <c r="AEY14" s="104"/>
      <c r="AEZ14" s="210" t="s">
        <v>26</v>
      </c>
      <c r="AFA14" s="210"/>
      <c r="AFB14" s="210"/>
      <c r="AFC14" s="210"/>
      <c r="AFD14" s="129"/>
      <c r="AFE14" s="129"/>
      <c r="AFF14" s="209" t="s">
        <v>37</v>
      </c>
      <c r="AFG14" s="209"/>
      <c r="AFH14" s="209"/>
      <c r="AFI14" s="209"/>
      <c r="AFJ14" s="104"/>
      <c r="AFK14" s="104"/>
      <c r="AFL14" s="104"/>
      <c r="AFM14" s="105"/>
      <c r="AFN14" s="103"/>
      <c r="AFO14" s="104"/>
      <c r="AFP14" s="104"/>
      <c r="AFQ14" s="104"/>
      <c r="AFR14" s="209" t="s">
        <v>33</v>
      </c>
      <c r="AFS14" s="209"/>
      <c r="AFT14" s="209"/>
      <c r="AFU14" s="209"/>
      <c r="AFV14" s="104"/>
      <c r="AFW14" s="104"/>
      <c r="AFX14" s="210" t="s">
        <v>23</v>
      </c>
      <c r="AFY14" s="210"/>
      <c r="AFZ14" s="210"/>
      <c r="AGA14" s="210"/>
      <c r="AGB14" s="129"/>
      <c r="AGC14" s="129"/>
      <c r="AGD14" s="209" t="s">
        <v>34</v>
      </c>
      <c r="AGE14" s="209"/>
      <c r="AGF14" s="209"/>
      <c r="AGG14" s="209"/>
      <c r="AGH14" s="104"/>
      <c r="AGI14" s="104"/>
      <c r="AGJ14" s="210" t="s">
        <v>24</v>
      </c>
      <c r="AGK14" s="210"/>
      <c r="AGL14" s="210"/>
      <c r="AGM14" s="210"/>
      <c r="AGN14" s="129"/>
      <c r="AGO14" s="129"/>
      <c r="AGP14" s="209" t="s">
        <v>35</v>
      </c>
      <c r="AGQ14" s="209"/>
      <c r="AGR14" s="209"/>
      <c r="AGS14" s="209"/>
      <c r="AGT14" s="104"/>
      <c r="AGU14" s="104"/>
      <c r="AGV14" s="210" t="s">
        <v>25</v>
      </c>
      <c r="AGW14" s="210"/>
      <c r="AGX14" s="210"/>
      <c r="AGY14" s="210"/>
      <c r="AGZ14" s="129"/>
      <c r="AHA14" s="129"/>
      <c r="AHB14" s="209" t="s">
        <v>36</v>
      </c>
      <c r="AHC14" s="209"/>
      <c r="AHD14" s="209"/>
      <c r="AHE14" s="209"/>
      <c r="AHF14" s="104"/>
      <c r="AHG14" s="104"/>
      <c r="AHH14" s="210" t="s">
        <v>26</v>
      </c>
      <c r="AHI14" s="210"/>
      <c r="AHJ14" s="210"/>
      <c r="AHK14" s="210"/>
      <c r="AHL14" s="129"/>
      <c r="AHM14" s="129"/>
      <c r="AHN14" s="209" t="s">
        <v>37</v>
      </c>
      <c r="AHO14" s="209"/>
      <c r="AHP14" s="209"/>
      <c r="AHQ14" s="209"/>
      <c r="AHR14" s="104"/>
      <c r="AHS14" s="104"/>
      <c r="AHT14" s="104"/>
      <c r="AHU14" s="105"/>
      <c r="AHV14" s="103"/>
      <c r="AHW14" s="104"/>
      <c r="AHX14" s="104"/>
      <c r="AHY14" s="104"/>
      <c r="AHZ14" s="209" t="s">
        <v>33</v>
      </c>
      <c r="AIA14" s="209"/>
      <c r="AIB14" s="209"/>
      <c r="AIC14" s="209"/>
      <c r="AID14" s="104"/>
      <c r="AIE14" s="104"/>
      <c r="AIF14" s="210" t="s">
        <v>23</v>
      </c>
      <c r="AIG14" s="210"/>
      <c r="AIH14" s="210"/>
      <c r="AII14" s="210"/>
      <c r="AIJ14" s="129"/>
      <c r="AIK14" s="129"/>
      <c r="AIL14" s="209" t="s">
        <v>34</v>
      </c>
      <c r="AIM14" s="209"/>
      <c r="AIN14" s="209"/>
      <c r="AIO14" s="209"/>
      <c r="AIP14" s="104"/>
      <c r="AIQ14" s="104"/>
      <c r="AIR14" s="210" t="s">
        <v>24</v>
      </c>
      <c r="AIS14" s="210"/>
      <c r="AIT14" s="210"/>
      <c r="AIU14" s="210"/>
      <c r="AIV14" s="129"/>
      <c r="AIW14" s="129"/>
      <c r="AIX14" s="209" t="s">
        <v>35</v>
      </c>
      <c r="AIY14" s="209"/>
      <c r="AIZ14" s="209"/>
      <c r="AJA14" s="209"/>
      <c r="AJB14" s="104"/>
      <c r="AJC14" s="104"/>
      <c r="AJD14" s="210" t="s">
        <v>25</v>
      </c>
      <c r="AJE14" s="210"/>
      <c r="AJF14" s="210"/>
      <c r="AJG14" s="210"/>
      <c r="AJH14" s="129"/>
      <c r="AJI14" s="129"/>
      <c r="AJJ14" s="209" t="s">
        <v>36</v>
      </c>
      <c r="AJK14" s="209"/>
      <c r="AJL14" s="209"/>
      <c r="AJM14" s="209"/>
      <c r="AJN14" s="104"/>
      <c r="AJO14" s="104"/>
      <c r="AJP14" s="210" t="s">
        <v>26</v>
      </c>
      <c r="AJQ14" s="210"/>
      <c r="AJR14" s="210"/>
      <c r="AJS14" s="210"/>
      <c r="AJT14" s="129"/>
      <c r="AJU14" s="129"/>
      <c r="AJV14" s="209" t="s">
        <v>37</v>
      </c>
      <c r="AJW14" s="209"/>
      <c r="AJX14" s="209"/>
      <c r="AJY14" s="209"/>
      <c r="AJZ14" s="104"/>
      <c r="AKA14" s="104"/>
      <c r="AKB14" s="104"/>
      <c r="AKC14" s="105"/>
      <c r="AKD14" s="103"/>
      <c r="AKE14" s="104"/>
      <c r="AKF14" s="104"/>
      <c r="AKG14" s="104"/>
      <c r="AKH14" s="209" t="s">
        <v>33</v>
      </c>
      <c r="AKI14" s="209"/>
      <c r="AKJ14" s="209"/>
      <c r="AKK14" s="209"/>
      <c r="AKL14" s="104"/>
      <c r="AKM14" s="104"/>
      <c r="AKN14" s="210" t="s">
        <v>23</v>
      </c>
      <c r="AKO14" s="210"/>
      <c r="AKP14" s="210"/>
      <c r="AKQ14" s="210"/>
      <c r="AKR14" s="129"/>
      <c r="AKS14" s="129"/>
      <c r="AKT14" s="209" t="s">
        <v>34</v>
      </c>
      <c r="AKU14" s="209"/>
      <c r="AKV14" s="209"/>
      <c r="AKW14" s="209"/>
      <c r="AKX14" s="104"/>
      <c r="AKY14" s="104"/>
      <c r="AKZ14" s="210" t="s">
        <v>24</v>
      </c>
      <c r="ALA14" s="210"/>
      <c r="ALB14" s="210"/>
      <c r="ALC14" s="210"/>
      <c r="ALD14" s="129"/>
      <c r="ALE14" s="129"/>
      <c r="ALF14" s="209" t="s">
        <v>35</v>
      </c>
      <c r="ALG14" s="209"/>
      <c r="ALH14" s="209"/>
      <c r="ALI14" s="209"/>
      <c r="ALJ14" s="104"/>
      <c r="ALK14" s="104"/>
      <c r="ALL14" s="210" t="s">
        <v>25</v>
      </c>
      <c r="ALM14" s="210"/>
      <c r="ALN14" s="210"/>
      <c r="ALO14" s="210"/>
      <c r="ALP14" s="129"/>
      <c r="ALQ14" s="129"/>
      <c r="ALR14" s="209" t="s">
        <v>36</v>
      </c>
      <c r="ALS14" s="209"/>
      <c r="ALT14" s="209"/>
      <c r="ALU14" s="209"/>
      <c r="ALV14" s="104"/>
      <c r="ALW14" s="104"/>
      <c r="ALX14" s="210" t="s">
        <v>26</v>
      </c>
      <c r="ALY14" s="210"/>
      <c r="ALZ14" s="210"/>
      <c r="AMA14" s="210"/>
      <c r="AMB14" s="129"/>
      <c r="AMC14" s="129"/>
      <c r="AMD14" s="209" t="s">
        <v>37</v>
      </c>
      <c r="AME14" s="209"/>
      <c r="AMF14" s="209"/>
      <c r="AMG14" s="209"/>
      <c r="AMH14" s="104"/>
      <c r="AMI14" s="104"/>
      <c r="AMJ14" s="104"/>
      <c r="AMK14" s="105"/>
      <c r="AML14" s="103"/>
      <c r="AMM14" s="104"/>
      <c r="AMN14" s="104"/>
      <c r="AMO14" s="104"/>
      <c r="AMP14" s="209" t="s">
        <v>33</v>
      </c>
      <c r="AMQ14" s="209"/>
      <c r="AMR14" s="209"/>
      <c r="AMS14" s="209"/>
      <c r="AMT14" s="104"/>
      <c r="AMU14" s="104"/>
      <c r="AMV14" s="210" t="s">
        <v>23</v>
      </c>
      <c r="AMW14" s="210"/>
      <c r="AMX14" s="210"/>
      <c r="AMY14" s="210"/>
      <c r="AMZ14" s="129"/>
      <c r="ANA14" s="129"/>
      <c r="ANB14" s="209" t="s">
        <v>34</v>
      </c>
      <c r="ANC14" s="209"/>
      <c r="AND14" s="209"/>
      <c r="ANE14" s="209"/>
      <c r="ANF14" s="104"/>
      <c r="ANG14" s="104"/>
      <c r="ANH14" s="210" t="s">
        <v>24</v>
      </c>
      <c r="ANI14" s="210"/>
      <c r="ANJ14" s="210"/>
      <c r="ANK14" s="210"/>
      <c r="ANL14" s="129"/>
      <c r="ANM14" s="129"/>
      <c r="ANN14" s="209" t="s">
        <v>35</v>
      </c>
      <c r="ANO14" s="209"/>
      <c r="ANP14" s="209"/>
      <c r="ANQ14" s="209"/>
      <c r="ANR14" s="104"/>
      <c r="ANS14" s="104"/>
      <c r="ANT14" s="210" t="s">
        <v>25</v>
      </c>
      <c r="ANU14" s="210"/>
      <c r="ANV14" s="210"/>
      <c r="ANW14" s="210"/>
      <c r="ANX14" s="129"/>
      <c r="ANY14" s="129"/>
      <c r="ANZ14" s="209" t="s">
        <v>36</v>
      </c>
      <c r="AOA14" s="209"/>
      <c r="AOB14" s="209"/>
      <c r="AOC14" s="209"/>
      <c r="AOD14" s="104"/>
      <c r="AOE14" s="104"/>
      <c r="AOF14" s="210" t="s">
        <v>26</v>
      </c>
      <c r="AOG14" s="210"/>
      <c r="AOH14" s="210"/>
      <c r="AOI14" s="210"/>
      <c r="AOJ14" s="129"/>
      <c r="AOK14" s="129"/>
      <c r="AOL14" s="209" t="s">
        <v>37</v>
      </c>
      <c r="AOM14" s="209"/>
      <c r="AON14" s="209"/>
      <c r="AOO14" s="209"/>
      <c r="AOP14" s="104"/>
      <c r="AOQ14" s="104"/>
      <c r="AOR14" s="104"/>
      <c r="AOS14" s="105"/>
      <c r="AOT14" s="103"/>
      <c r="AOU14" s="104"/>
      <c r="AOV14" s="104"/>
      <c r="AOW14" s="104"/>
      <c r="AOX14" s="209" t="s">
        <v>33</v>
      </c>
      <c r="AOY14" s="209"/>
      <c r="AOZ14" s="209"/>
      <c r="APA14" s="209"/>
      <c r="APB14" s="104"/>
      <c r="APC14" s="104"/>
      <c r="APD14" s="210" t="s">
        <v>23</v>
      </c>
      <c r="APE14" s="210"/>
      <c r="APF14" s="210"/>
      <c r="APG14" s="210"/>
      <c r="APH14" s="129"/>
      <c r="API14" s="129"/>
      <c r="APJ14" s="209" t="s">
        <v>34</v>
      </c>
      <c r="APK14" s="209"/>
      <c r="APL14" s="209"/>
      <c r="APM14" s="209"/>
      <c r="APN14" s="104"/>
      <c r="APO14" s="104"/>
      <c r="APP14" s="210" t="s">
        <v>24</v>
      </c>
      <c r="APQ14" s="210"/>
      <c r="APR14" s="210"/>
      <c r="APS14" s="210"/>
      <c r="APT14" s="129"/>
      <c r="APU14" s="129"/>
      <c r="APV14" s="209" t="s">
        <v>35</v>
      </c>
      <c r="APW14" s="209"/>
      <c r="APX14" s="209"/>
      <c r="APY14" s="209"/>
      <c r="APZ14" s="104"/>
      <c r="AQA14" s="104"/>
      <c r="AQB14" s="210" t="s">
        <v>25</v>
      </c>
      <c r="AQC14" s="210"/>
      <c r="AQD14" s="210"/>
      <c r="AQE14" s="210"/>
      <c r="AQF14" s="129"/>
      <c r="AQG14" s="129"/>
      <c r="AQH14" s="209" t="s">
        <v>36</v>
      </c>
      <c r="AQI14" s="209"/>
      <c r="AQJ14" s="209"/>
      <c r="AQK14" s="209"/>
      <c r="AQL14" s="104"/>
      <c r="AQM14" s="104"/>
      <c r="AQN14" s="210" t="s">
        <v>26</v>
      </c>
      <c r="AQO14" s="210"/>
      <c r="AQP14" s="210"/>
      <c r="AQQ14" s="210"/>
      <c r="AQR14" s="129"/>
      <c r="AQS14" s="129"/>
      <c r="AQT14" s="209" t="s">
        <v>37</v>
      </c>
      <c r="AQU14" s="209"/>
      <c r="AQV14" s="209"/>
      <c r="AQW14" s="209"/>
      <c r="AQX14" s="104"/>
      <c r="AQY14" s="104"/>
      <c r="AQZ14" s="104"/>
      <c r="ARA14" s="105"/>
      <c r="ARB14" s="103"/>
      <c r="ARC14" s="104"/>
      <c r="ARD14" s="104"/>
      <c r="ARE14" s="104"/>
      <c r="ARF14" s="209" t="s">
        <v>33</v>
      </c>
      <c r="ARG14" s="209"/>
      <c r="ARH14" s="209"/>
      <c r="ARI14" s="209"/>
      <c r="ARJ14" s="104"/>
      <c r="ARK14" s="104"/>
      <c r="ARL14" s="210" t="s">
        <v>23</v>
      </c>
      <c r="ARM14" s="210"/>
      <c r="ARN14" s="210"/>
      <c r="ARO14" s="210"/>
      <c r="ARP14" s="129"/>
      <c r="ARQ14" s="129"/>
      <c r="ARR14" s="209" t="s">
        <v>34</v>
      </c>
      <c r="ARS14" s="209"/>
      <c r="ART14" s="209"/>
      <c r="ARU14" s="209"/>
      <c r="ARV14" s="104"/>
      <c r="ARW14" s="104"/>
      <c r="ARX14" s="210" t="s">
        <v>24</v>
      </c>
      <c r="ARY14" s="210"/>
      <c r="ARZ14" s="210"/>
      <c r="ASA14" s="210"/>
      <c r="ASB14" s="129"/>
      <c r="ASC14" s="129"/>
      <c r="ASD14" s="209" t="s">
        <v>35</v>
      </c>
      <c r="ASE14" s="209"/>
      <c r="ASF14" s="209"/>
      <c r="ASG14" s="209"/>
      <c r="ASH14" s="104"/>
      <c r="ASI14" s="104"/>
      <c r="ASJ14" s="210" t="s">
        <v>25</v>
      </c>
      <c r="ASK14" s="210"/>
      <c r="ASL14" s="210"/>
      <c r="ASM14" s="210"/>
      <c r="ASN14" s="129"/>
      <c r="ASO14" s="129"/>
      <c r="ASP14" s="209" t="s">
        <v>36</v>
      </c>
      <c r="ASQ14" s="209"/>
      <c r="ASR14" s="209"/>
      <c r="ASS14" s="209"/>
      <c r="AST14" s="104"/>
      <c r="ASU14" s="104"/>
      <c r="ASV14" s="210" t="s">
        <v>26</v>
      </c>
      <c r="ASW14" s="210"/>
      <c r="ASX14" s="210"/>
      <c r="ASY14" s="210"/>
      <c r="ASZ14" s="129"/>
      <c r="ATA14" s="129"/>
      <c r="ATB14" s="209" t="s">
        <v>37</v>
      </c>
      <c r="ATC14" s="209"/>
      <c r="ATD14" s="209"/>
      <c r="ATE14" s="209"/>
      <c r="ATF14" s="104"/>
      <c r="ATG14" s="104"/>
      <c r="ATH14" s="104"/>
      <c r="ATI14" s="105"/>
      <c r="ATJ14" s="103"/>
      <c r="ATK14" s="104"/>
      <c r="ATL14" s="104"/>
      <c r="ATM14" s="104"/>
      <c r="ATN14" s="209" t="s">
        <v>33</v>
      </c>
      <c r="ATO14" s="209"/>
      <c r="ATP14" s="209"/>
      <c r="ATQ14" s="209"/>
      <c r="ATR14" s="104"/>
      <c r="ATS14" s="104"/>
      <c r="ATT14" s="210" t="s">
        <v>23</v>
      </c>
      <c r="ATU14" s="210"/>
      <c r="ATV14" s="210"/>
      <c r="ATW14" s="210"/>
      <c r="ATX14" s="129"/>
      <c r="ATY14" s="129"/>
      <c r="ATZ14" s="209" t="s">
        <v>34</v>
      </c>
      <c r="AUA14" s="209"/>
      <c r="AUB14" s="209"/>
      <c r="AUC14" s="209"/>
      <c r="AUD14" s="104"/>
      <c r="AUE14" s="104"/>
      <c r="AUF14" s="210" t="s">
        <v>24</v>
      </c>
      <c r="AUG14" s="210"/>
      <c r="AUH14" s="210"/>
      <c r="AUI14" s="210"/>
      <c r="AUJ14" s="129"/>
      <c r="AUK14" s="129"/>
      <c r="AUL14" s="209" t="s">
        <v>35</v>
      </c>
      <c r="AUM14" s="209"/>
      <c r="AUN14" s="209"/>
      <c r="AUO14" s="209"/>
      <c r="AUP14" s="104"/>
      <c r="AUQ14" s="104"/>
      <c r="AUR14" s="210" t="s">
        <v>25</v>
      </c>
      <c r="AUS14" s="210"/>
      <c r="AUT14" s="210"/>
      <c r="AUU14" s="210"/>
      <c r="AUV14" s="129"/>
      <c r="AUW14" s="129"/>
      <c r="AUX14" s="209" t="s">
        <v>36</v>
      </c>
      <c r="AUY14" s="209"/>
      <c r="AUZ14" s="209"/>
      <c r="AVA14" s="209"/>
      <c r="AVB14" s="104"/>
      <c r="AVC14" s="104"/>
      <c r="AVD14" s="210" t="s">
        <v>26</v>
      </c>
      <c r="AVE14" s="210"/>
      <c r="AVF14" s="210"/>
      <c r="AVG14" s="210"/>
      <c r="AVH14" s="129"/>
      <c r="AVI14" s="129"/>
      <c r="AVJ14" s="209" t="s">
        <v>37</v>
      </c>
      <c r="AVK14" s="209"/>
      <c r="AVL14" s="209"/>
      <c r="AVM14" s="209"/>
      <c r="AVN14" s="104"/>
      <c r="AVO14" s="104"/>
      <c r="AVP14" s="104"/>
      <c r="AVQ14" s="105"/>
      <c r="AVR14" s="103"/>
      <c r="AVS14" s="104"/>
      <c r="AVT14" s="104"/>
      <c r="AVU14" s="104"/>
      <c r="AVV14" s="209" t="s">
        <v>33</v>
      </c>
      <c r="AVW14" s="209"/>
      <c r="AVX14" s="209"/>
      <c r="AVY14" s="209"/>
      <c r="AVZ14" s="104"/>
      <c r="AWA14" s="104"/>
      <c r="AWB14" s="210" t="s">
        <v>23</v>
      </c>
      <c r="AWC14" s="210"/>
      <c r="AWD14" s="210"/>
      <c r="AWE14" s="210"/>
      <c r="AWF14" s="129"/>
      <c r="AWG14" s="129"/>
      <c r="AWH14" s="209" t="s">
        <v>34</v>
      </c>
      <c r="AWI14" s="209"/>
      <c r="AWJ14" s="209"/>
      <c r="AWK14" s="209"/>
      <c r="AWL14" s="104"/>
      <c r="AWM14" s="104"/>
      <c r="AWN14" s="210" t="s">
        <v>24</v>
      </c>
      <c r="AWO14" s="210"/>
      <c r="AWP14" s="210"/>
      <c r="AWQ14" s="210"/>
      <c r="AWR14" s="129"/>
      <c r="AWS14" s="129"/>
      <c r="AWT14" s="209" t="s">
        <v>35</v>
      </c>
      <c r="AWU14" s="209"/>
      <c r="AWV14" s="209"/>
      <c r="AWW14" s="209"/>
      <c r="AWX14" s="104"/>
      <c r="AWY14" s="104"/>
      <c r="AWZ14" s="210" t="s">
        <v>25</v>
      </c>
      <c r="AXA14" s="210"/>
      <c r="AXB14" s="210"/>
      <c r="AXC14" s="210"/>
      <c r="AXD14" s="129"/>
      <c r="AXE14" s="129"/>
      <c r="AXF14" s="209" t="s">
        <v>36</v>
      </c>
      <c r="AXG14" s="209"/>
      <c r="AXH14" s="209"/>
      <c r="AXI14" s="209"/>
      <c r="AXJ14" s="104"/>
      <c r="AXK14" s="104"/>
      <c r="AXL14" s="210" t="s">
        <v>26</v>
      </c>
      <c r="AXM14" s="210"/>
      <c r="AXN14" s="210"/>
      <c r="AXO14" s="210"/>
      <c r="AXP14" s="129"/>
      <c r="AXQ14" s="129"/>
      <c r="AXR14" s="209" t="s">
        <v>37</v>
      </c>
      <c r="AXS14" s="209"/>
      <c r="AXT14" s="209"/>
      <c r="AXU14" s="209"/>
      <c r="AXV14" s="104"/>
      <c r="AXW14" s="104"/>
      <c r="AXX14" s="104"/>
      <c r="AXY14" s="105"/>
      <c r="AXZ14" s="103"/>
      <c r="AYA14" s="104"/>
      <c r="AYB14" s="104"/>
      <c r="AYC14" s="104"/>
      <c r="AYD14" s="209" t="s">
        <v>33</v>
      </c>
      <c r="AYE14" s="209"/>
      <c r="AYF14" s="209"/>
      <c r="AYG14" s="209"/>
      <c r="AYH14" s="104"/>
      <c r="AYI14" s="104"/>
      <c r="AYJ14" s="210" t="s">
        <v>23</v>
      </c>
      <c r="AYK14" s="210"/>
      <c r="AYL14" s="210"/>
      <c r="AYM14" s="210"/>
      <c r="AYN14" s="129"/>
      <c r="AYO14" s="129"/>
      <c r="AYP14" s="209" t="s">
        <v>34</v>
      </c>
      <c r="AYQ14" s="209"/>
      <c r="AYR14" s="209"/>
      <c r="AYS14" s="209"/>
      <c r="AYT14" s="104"/>
      <c r="AYU14" s="104"/>
      <c r="AYV14" s="210" t="s">
        <v>24</v>
      </c>
      <c r="AYW14" s="210"/>
      <c r="AYX14" s="210"/>
      <c r="AYY14" s="210"/>
      <c r="AYZ14" s="129"/>
      <c r="AZA14" s="129"/>
      <c r="AZB14" s="209" t="s">
        <v>35</v>
      </c>
      <c r="AZC14" s="209"/>
      <c r="AZD14" s="209"/>
      <c r="AZE14" s="209"/>
      <c r="AZF14" s="104"/>
      <c r="AZG14" s="104"/>
      <c r="AZH14" s="210" t="s">
        <v>25</v>
      </c>
      <c r="AZI14" s="210"/>
      <c r="AZJ14" s="210"/>
      <c r="AZK14" s="210"/>
      <c r="AZL14" s="129"/>
      <c r="AZM14" s="129"/>
      <c r="AZN14" s="209" t="s">
        <v>36</v>
      </c>
      <c r="AZO14" s="209"/>
      <c r="AZP14" s="209"/>
      <c r="AZQ14" s="209"/>
      <c r="AZR14" s="104"/>
      <c r="AZS14" s="104"/>
      <c r="AZT14" s="210" t="s">
        <v>26</v>
      </c>
      <c r="AZU14" s="210"/>
      <c r="AZV14" s="210"/>
      <c r="AZW14" s="210"/>
      <c r="AZX14" s="129"/>
      <c r="AZY14" s="129"/>
      <c r="AZZ14" s="209" t="s">
        <v>37</v>
      </c>
      <c r="BAA14" s="209"/>
      <c r="BAB14" s="209"/>
      <c r="BAC14" s="209"/>
      <c r="BAD14" s="104"/>
      <c r="BAE14" s="104"/>
      <c r="BAF14" s="104"/>
      <c r="BAG14" s="105"/>
      <c r="BAH14" s="103"/>
      <c r="BAI14" s="104"/>
      <c r="BAJ14" s="104"/>
      <c r="BAK14" s="104"/>
      <c r="BAL14" s="209" t="s">
        <v>33</v>
      </c>
      <c r="BAM14" s="209"/>
      <c r="BAN14" s="209"/>
      <c r="BAO14" s="209"/>
      <c r="BAP14" s="104"/>
      <c r="BAQ14" s="104"/>
      <c r="BAR14" s="210" t="s">
        <v>23</v>
      </c>
      <c r="BAS14" s="210"/>
      <c r="BAT14" s="210"/>
      <c r="BAU14" s="210"/>
      <c r="BAV14" s="129"/>
      <c r="BAW14" s="129"/>
      <c r="BAX14" s="209" t="s">
        <v>34</v>
      </c>
      <c r="BAY14" s="209"/>
      <c r="BAZ14" s="209"/>
      <c r="BBA14" s="209"/>
      <c r="BBB14" s="104"/>
      <c r="BBC14" s="104"/>
      <c r="BBD14" s="210" t="s">
        <v>24</v>
      </c>
      <c r="BBE14" s="210"/>
      <c r="BBF14" s="210"/>
      <c r="BBG14" s="210"/>
      <c r="BBH14" s="129"/>
      <c r="BBI14" s="129"/>
      <c r="BBJ14" s="209" t="s">
        <v>35</v>
      </c>
      <c r="BBK14" s="209"/>
      <c r="BBL14" s="209"/>
      <c r="BBM14" s="209"/>
      <c r="BBN14" s="104"/>
      <c r="BBO14" s="104"/>
      <c r="BBP14" s="210" t="s">
        <v>25</v>
      </c>
      <c r="BBQ14" s="210"/>
      <c r="BBR14" s="210"/>
      <c r="BBS14" s="210"/>
      <c r="BBT14" s="129"/>
      <c r="BBU14" s="129"/>
      <c r="BBV14" s="209" t="s">
        <v>36</v>
      </c>
      <c r="BBW14" s="209"/>
      <c r="BBX14" s="209"/>
      <c r="BBY14" s="209"/>
      <c r="BBZ14" s="104"/>
      <c r="BCA14" s="104"/>
      <c r="BCB14" s="210" t="s">
        <v>26</v>
      </c>
      <c r="BCC14" s="210"/>
      <c r="BCD14" s="210"/>
      <c r="BCE14" s="210"/>
      <c r="BCF14" s="129"/>
      <c r="BCG14" s="129"/>
      <c r="BCH14" s="209" t="s">
        <v>37</v>
      </c>
      <c r="BCI14" s="209"/>
      <c r="BCJ14" s="209"/>
      <c r="BCK14" s="209"/>
      <c r="BCL14" s="104"/>
      <c r="BCM14" s="104"/>
      <c r="BCN14" s="104"/>
      <c r="BCO14" s="105"/>
      <c r="BCP14" s="103"/>
      <c r="BCQ14" s="104"/>
      <c r="BCR14" s="104"/>
      <c r="BCS14" s="104"/>
      <c r="BCT14" s="209" t="s">
        <v>33</v>
      </c>
      <c r="BCU14" s="209"/>
      <c r="BCV14" s="209"/>
      <c r="BCW14" s="209"/>
      <c r="BCX14" s="104"/>
      <c r="BCY14" s="104"/>
      <c r="BCZ14" s="210" t="s">
        <v>23</v>
      </c>
      <c r="BDA14" s="210"/>
      <c r="BDB14" s="210"/>
      <c r="BDC14" s="210"/>
      <c r="BDD14" s="129"/>
      <c r="BDE14" s="129"/>
      <c r="BDF14" s="209" t="s">
        <v>34</v>
      </c>
      <c r="BDG14" s="209"/>
      <c r="BDH14" s="209"/>
      <c r="BDI14" s="209"/>
      <c r="BDJ14" s="104"/>
      <c r="BDK14" s="104"/>
      <c r="BDL14" s="210" t="s">
        <v>24</v>
      </c>
      <c r="BDM14" s="210"/>
      <c r="BDN14" s="210"/>
      <c r="BDO14" s="210"/>
      <c r="BDP14" s="129"/>
      <c r="BDQ14" s="129"/>
      <c r="BDR14" s="209" t="s">
        <v>35</v>
      </c>
      <c r="BDS14" s="209"/>
      <c r="BDT14" s="209"/>
      <c r="BDU14" s="209"/>
      <c r="BDV14" s="104"/>
      <c r="BDW14" s="104"/>
      <c r="BDX14" s="210" t="s">
        <v>25</v>
      </c>
      <c r="BDY14" s="210"/>
      <c r="BDZ14" s="210"/>
      <c r="BEA14" s="210"/>
      <c r="BEB14" s="129"/>
      <c r="BEC14" s="129"/>
      <c r="BED14" s="209" t="s">
        <v>36</v>
      </c>
      <c r="BEE14" s="209"/>
      <c r="BEF14" s="209"/>
      <c r="BEG14" s="209"/>
      <c r="BEH14" s="104"/>
      <c r="BEI14" s="104"/>
      <c r="BEJ14" s="210" t="s">
        <v>26</v>
      </c>
      <c r="BEK14" s="210"/>
      <c r="BEL14" s="210"/>
      <c r="BEM14" s="210"/>
      <c r="BEN14" s="129"/>
      <c r="BEO14" s="129"/>
      <c r="BEP14" s="209" t="s">
        <v>37</v>
      </c>
      <c r="BEQ14" s="209"/>
      <c r="BER14" s="209"/>
      <c r="BES14" s="209"/>
      <c r="BET14" s="104"/>
      <c r="BEU14" s="104"/>
      <c r="BEV14" s="104"/>
      <c r="BEW14" s="105"/>
      <c r="BEX14" s="103"/>
      <c r="BEY14" s="104"/>
      <c r="BEZ14" s="104"/>
      <c r="BFA14" s="104"/>
      <c r="BFB14" s="209" t="s">
        <v>33</v>
      </c>
      <c r="BFC14" s="209"/>
      <c r="BFD14" s="209"/>
      <c r="BFE14" s="209"/>
      <c r="BFF14" s="104"/>
      <c r="BFG14" s="104"/>
      <c r="BFH14" s="210" t="s">
        <v>23</v>
      </c>
      <c r="BFI14" s="210"/>
      <c r="BFJ14" s="210"/>
      <c r="BFK14" s="210"/>
      <c r="BFL14" s="129"/>
      <c r="BFM14" s="129"/>
      <c r="BFN14" s="209" t="s">
        <v>34</v>
      </c>
      <c r="BFO14" s="209"/>
      <c r="BFP14" s="209"/>
      <c r="BFQ14" s="209"/>
      <c r="BFR14" s="104"/>
      <c r="BFS14" s="104"/>
      <c r="BFT14" s="210" t="s">
        <v>24</v>
      </c>
      <c r="BFU14" s="210"/>
      <c r="BFV14" s="210"/>
      <c r="BFW14" s="210"/>
      <c r="BFX14" s="129"/>
      <c r="BFY14" s="129"/>
      <c r="BFZ14" s="209" t="s">
        <v>35</v>
      </c>
      <c r="BGA14" s="209"/>
      <c r="BGB14" s="209"/>
      <c r="BGC14" s="209"/>
      <c r="BGD14" s="104"/>
      <c r="BGE14" s="104"/>
      <c r="BGF14" s="210" t="s">
        <v>25</v>
      </c>
      <c r="BGG14" s="210"/>
      <c r="BGH14" s="210"/>
      <c r="BGI14" s="210"/>
      <c r="BGJ14" s="129"/>
      <c r="BGK14" s="129"/>
      <c r="BGL14" s="209" t="s">
        <v>36</v>
      </c>
      <c r="BGM14" s="209"/>
      <c r="BGN14" s="209"/>
      <c r="BGO14" s="209"/>
      <c r="BGP14" s="104"/>
      <c r="BGQ14" s="104"/>
      <c r="BGR14" s="210" t="s">
        <v>26</v>
      </c>
      <c r="BGS14" s="210"/>
      <c r="BGT14" s="210"/>
      <c r="BGU14" s="210"/>
      <c r="BGV14" s="129"/>
      <c r="BGW14" s="129"/>
      <c r="BGX14" s="209" t="s">
        <v>37</v>
      </c>
      <c r="BGY14" s="209"/>
      <c r="BGZ14" s="209"/>
      <c r="BHA14" s="209"/>
      <c r="BHB14" s="104"/>
      <c r="BHC14" s="104"/>
      <c r="BHD14" s="104"/>
      <c r="BHE14" s="105"/>
      <c r="BHF14" s="103"/>
      <c r="BHG14" s="104"/>
      <c r="BHH14" s="104"/>
      <c r="BHI14" s="104"/>
      <c r="BHJ14" s="209" t="s">
        <v>33</v>
      </c>
      <c r="BHK14" s="209"/>
      <c r="BHL14" s="209"/>
      <c r="BHM14" s="209"/>
      <c r="BHN14" s="104"/>
      <c r="BHO14" s="104"/>
      <c r="BHP14" s="210" t="s">
        <v>23</v>
      </c>
      <c r="BHQ14" s="210"/>
      <c r="BHR14" s="210"/>
      <c r="BHS14" s="210"/>
      <c r="BHT14" s="129"/>
      <c r="BHU14" s="129"/>
      <c r="BHV14" s="209" t="s">
        <v>34</v>
      </c>
      <c r="BHW14" s="209"/>
      <c r="BHX14" s="209"/>
      <c r="BHY14" s="209"/>
      <c r="BHZ14" s="104"/>
      <c r="BIA14" s="104"/>
      <c r="BIB14" s="210" t="s">
        <v>24</v>
      </c>
      <c r="BIC14" s="210"/>
      <c r="BID14" s="210"/>
      <c r="BIE14" s="210"/>
      <c r="BIF14" s="129"/>
      <c r="BIG14" s="129"/>
      <c r="BIH14" s="209" t="s">
        <v>35</v>
      </c>
      <c r="BII14" s="209"/>
      <c r="BIJ14" s="209"/>
      <c r="BIK14" s="209"/>
      <c r="BIL14" s="104"/>
      <c r="BIM14" s="104"/>
      <c r="BIN14" s="210" t="s">
        <v>25</v>
      </c>
      <c r="BIO14" s="210"/>
      <c r="BIP14" s="210"/>
      <c r="BIQ14" s="210"/>
      <c r="BIR14" s="129"/>
      <c r="BIS14" s="129"/>
      <c r="BIT14" s="209" t="s">
        <v>36</v>
      </c>
      <c r="BIU14" s="209"/>
      <c r="BIV14" s="209"/>
      <c r="BIW14" s="209"/>
      <c r="BIX14" s="104"/>
      <c r="BIY14" s="104"/>
      <c r="BIZ14" s="210" t="s">
        <v>26</v>
      </c>
      <c r="BJA14" s="210"/>
      <c r="BJB14" s="210"/>
      <c r="BJC14" s="210"/>
      <c r="BJD14" s="129"/>
      <c r="BJE14" s="129"/>
      <c r="BJF14" s="209" t="s">
        <v>37</v>
      </c>
      <c r="BJG14" s="209"/>
      <c r="BJH14" s="209"/>
      <c r="BJI14" s="209"/>
      <c r="BJJ14" s="104"/>
      <c r="BJK14" s="104"/>
      <c r="BJL14" s="104"/>
      <c r="BJM14" s="105"/>
      <c r="BJN14" s="103"/>
      <c r="BJO14" s="104"/>
      <c r="BJP14" s="104"/>
      <c r="BJQ14" s="104"/>
      <c r="BJR14" s="209" t="s">
        <v>33</v>
      </c>
      <c r="BJS14" s="209"/>
      <c r="BJT14" s="209"/>
      <c r="BJU14" s="209"/>
      <c r="BJV14" s="104"/>
      <c r="BJW14" s="104"/>
      <c r="BJX14" s="210" t="s">
        <v>23</v>
      </c>
      <c r="BJY14" s="210"/>
      <c r="BJZ14" s="210"/>
      <c r="BKA14" s="210"/>
      <c r="BKB14" s="129"/>
      <c r="BKC14" s="129"/>
      <c r="BKD14" s="209" t="s">
        <v>34</v>
      </c>
      <c r="BKE14" s="209"/>
      <c r="BKF14" s="209"/>
      <c r="BKG14" s="209"/>
      <c r="BKH14" s="104"/>
      <c r="BKI14" s="104"/>
      <c r="BKJ14" s="210" t="s">
        <v>24</v>
      </c>
      <c r="BKK14" s="210"/>
      <c r="BKL14" s="210"/>
      <c r="BKM14" s="210"/>
      <c r="BKN14" s="129"/>
      <c r="BKO14" s="129"/>
      <c r="BKP14" s="209" t="s">
        <v>35</v>
      </c>
      <c r="BKQ14" s="209"/>
      <c r="BKR14" s="209"/>
      <c r="BKS14" s="209"/>
      <c r="BKT14" s="104"/>
      <c r="BKU14" s="104"/>
      <c r="BKV14" s="210" t="s">
        <v>25</v>
      </c>
      <c r="BKW14" s="210"/>
      <c r="BKX14" s="210"/>
      <c r="BKY14" s="210"/>
      <c r="BKZ14" s="129"/>
      <c r="BLA14" s="129"/>
      <c r="BLB14" s="209" t="s">
        <v>36</v>
      </c>
      <c r="BLC14" s="209"/>
      <c r="BLD14" s="209"/>
      <c r="BLE14" s="209"/>
      <c r="BLF14" s="104"/>
      <c r="BLG14" s="104"/>
      <c r="BLH14" s="210" t="s">
        <v>26</v>
      </c>
      <c r="BLI14" s="210"/>
      <c r="BLJ14" s="210"/>
      <c r="BLK14" s="210"/>
      <c r="BLL14" s="129"/>
      <c r="BLM14" s="129"/>
      <c r="BLN14" s="209" t="s">
        <v>37</v>
      </c>
      <c r="BLO14" s="209"/>
      <c r="BLP14" s="209"/>
      <c r="BLQ14" s="209"/>
      <c r="BLR14" s="104"/>
      <c r="BLS14" s="104"/>
      <c r="BLT14" s="104"/>
      <c r="BLU14" s="105"/>
    </row>
    <row r="15" spans="1:1744" ht="20.100000000000001" customHeight="1" x14ac:dyDescent="0.25">
      <c r="A15" s="100" t="s">
        <v>19</v>
      </c>
      <c r="B15" s="63" t="str">
        <f>IF(LEN(C15)=0,"",C15)</f>
        <v xml:space="preserve">Absences - imprévus </v>
      </c>
      <c r="C15" s="213"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4"/>
      <c r="D16" s="147" t="str">
        <f t="shared" ref="D16:D79" si="0">setValueToTime(E16)</f>
        <v>7h25min</v>
      </c>
      <c r="E16" s="35">
        <v>89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197"/>
      <c r="RS16" s="198"/>
      <c r="RT16" s="198"/>
      <c r="RU16" s="198"/>
      <c r="RV16" s="195"/>
      <c r="RW16" s="199"/>
      <c r="RX16" s="195"/>
      <c r="RY16" s="195"/>
      <c r="RZ16" s="195"/>
      <c r="SA16" s="195"/>
      <c r="SB16" s="195"/>
      <c r="SC16" s="196"/>
      <c r="SD16" s="195"/>
      <c r="SE16" s="195"/>
      <c r="SF16" s="195"/>
      <c r="SG16" s="195"/>
      <c r="SH16" s="195"/>
      <c r="SI16" s="200"/>
      <c r="SJ16" s="195"/>
      <c r="SK16" s="195"/>
      <c r="SL16" s="195"/>
      <c r="SM16" s="195"/>
      <c r="SN16" s="195"/>
      <c r="SO16" s="196"/>
      <c r="SP16" s="195"/>
      <c r="SQ16" s="195"/>
      <c r="SR16" s="195"/>
      <c r="SS16" s="195"/>
      <c r="ST16" s="195"/>
      <c r="SU16" s="200"/>
      <c r="SV16" s="198"/>
      <c r="SW16" s="198"/>
      <c r="SX16" s="198"/>
      <c r="SY16" s="198"/>
      <c r="SZ16" s="195"/>
      <c r="TA16" s="196"/>
      <c r="TB16" s="195"/>
      <c r="TC16" s="195"/>
      <c r="TD16" s="195"/>
      <c r="TE16" s="195"/>
      <c r="TF16" s="195"/>
      <c r="TG16" s="200"/>
      <c r="TH16" s="195"/>
      <c r="TI16" s="195"/>
      <c r="TJ16" s="195"/>
      <c r="TK16" s="195"/>
      <c r="TL16" s="195"/>
      <c r="TM16" s="196"/>
      <c r="TN16" s="29"/>
      <c r="TO16" s="29"/>
      <c r="TP16" s="29"/>
      <c r="TQ16" s="29"/>
      <c r="TR16" s="29"/>
      <c r="TS16" s="73"/>
      <c r="TT16" s="29"/>
      <c r="TU16" s="29"/>
      <c r="TV16" s="29"/>
      <c r="TW16" s="29"/>
      <c r="TX16" s="29"/>
      <c r="TY16" s="30"/>
      <c r="TZ16" s="197"/>
      <c r="UA16" s="198"/>
      <c r="UB16" s="198"/>
      <c r="UC16" s="198"/>
      <c r="UD16" s="195"/>
      <c r="UE16" s="199"/>
      <c r="UF16" s="195"/>
      <c r="UG16" s="195"/>
      <c r="UH16" s="195"/>
      <c r="UI16" s="195"/>
      <c r="UJ16" s="195"/>
      <c r="UK16" s="196"/>
      <c r="UL16" s="195"/>
      <c r="UM16" s="195"/>
      <c r="UN16" s="195"/>
      <c r="UO16" s="195"/>
      <c r="UP16" s="195"/>
      <c r="UQ16" s="200"/>
      <c r="UR16" s="195"/>
      <c r="US16" s="195"/>
      <c r="UT16" s="195"/>
      <c r="UU16" s="195"/>
      <c r="UV16" s="195"/>
      <c r="UW16" s="196"/>
      <c r="UX16" s="195"/>
      <c r="UY16" s="195"/>
      <c r="UZ16" s="195"/>
      <c r="VA16" s="195"/>
      <c r="VB16" s="195"/>
      <c r="VC16" s="200"/>
      <c r="VD16" s="198"/>
      <c r="VE16" s="198"/>
      <c r="VF16" s="198"/>
      <c r="VG16" s="198"/>
      <c r="VH16" s="195"/>
      <c r="VI16" s="196"/>
      <c r="VJ16" s="195"/>
      <c r="VK16" s="195"/>
      <c r="VL16" s="29"/>
      <c r="VM16" s="29"/>
      <c r="VN16" s="29"/>
      <c r="VO16" s="73"/>
      <c r="VP16" s="29"/>
      <c r="VQ16" s="29"/>
      <c r="VR16" s="29"/>
      <c r="VS16" s="29"/>
      <c r="VT16" s="29"/>
      <c r="VU16" s="136"/>
      <c r="VV16" s="29"/>
      <c r="VW16" s="29"/>
      <c r="VX16" s="29"/>
      <c r="VY16" s="29"/>
      <c r="VZ16" s="29"/>
      <c r="WA16" s="73"/>
      <c r="WB16" s="29"/>
      <c r="WC16" s="29"/>
      <c r="WD16" s="29"/>
      <c r="WE16" s="29"/>
      <c r="WF16" s="29"/>
      <c r="WG16" s="30"/>
      <c r="WH16" s="197"/>
      <c r="WI16" s="198"/>
      <c r="WJ16" s="198"/>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13"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4"/>
      <c r="D18" s="148" t="str">
        <f t="shared" si="0"/>
        <v>1h</v>
      </c>
      <c r="E18" s="35">
        <v>12</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190"/>
      <c r="MC18" s="193"/>
      <c r="MD18" s="190"/>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13"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15"/>
      <c r="D20" s="147" t="str">
        <f t="shared" si="0"/>
        <v>0h10min</v>
      </c>
      <c r="E20" s="27">
        <v>2</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195"/>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13"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15"/>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13"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1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13"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4"/>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13"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4"/>
      <c r="D28" s="148" t="str">
        <f t="shared" si="0"/>
        <v>1h5min</v>
      </c>
      <c r="E28" s="27">
        <v>13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197"/>
      <c r="NC28" s="198"/>
      <c r="ND28" s="198"/>
      <c r="NE28" s="198"/>
      <c r="NF28" s="195"/>
      <c r="NG28" s="199"/>
      <c r="NH28" s="195"/>
      <c r="NI28" s="195"/>
      <c r="NJ28" s="195"/>
      <c r="NK28" s="195"/>
      <c r="NL28" s="195"/>
      <c r="NM28" s="196"/>
      <c r="NN28" s="195"/>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13"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4"/>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13"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15"/>
      <c r="D32" s="148" t="str">
        <f t="shared" si="0"/>
        <v>1h35min</v>
      </c>
      <c r="E32" s="27">
        <v>19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7"/>
      <c r="GE32" s="198"/>
      <c r="GF32" s="198"/>
      <c r="GG32" s="198"/>
      <c r="GH32" s="195"/>
      <c r="GI32" s="199"/>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195"/>
      <c r="NP32" s="195"/>
      <c r="NQ32" s="195"/>
      <c r="NR32" s="195"/>
      <c r="NS32" s="200"/>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13"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4"/>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13"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15"/>
      <c r="D36" s="147" t="str">
        <f t="shared" si="0"/>
        <v>6h</v>
      </c>
      <c r="E36" s="27">
        <v>72</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00"/>
      <c r="HH36" s="198"/>
      <c r="HI36" s="198"/>
      <c r="HJ36" s="198"/>
      <c r="HK36" s="198"/>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197"/>
      <c r="IM36" s="198"/>
      <c r="IN36" s="198"/>
      <c r="IO36" s="198"/>
      <c r="IP36" s="195"/>
      <c r="IQ36" s="199"/>
      <c r="IR36" s="195"/>
      <c r="IS36" s="195"/>
      <c r="IT36" s="195"/>
      <c r="IU36" s="195"/>
      <c r="IV36" s="195"/>
      <c r="IW36" s="196"/>
      <c r="IX36" s="195"/>
      <c r="IY36" s="195"/>
      <c r="IZ36" s="195"/>
      <c r="JA36" s="195"/>
      <c r="JB36" s="195"/>
      <c r="JC36" s="200"/>
      <c r="JD36" s="195"/>
      <c r="JE36" s="195"/>
      <c r="JF36" s="195"/>
      <c r="JG36" s="195"/>
      <c r="JH36" s="195"/>
      <c r="JI36" s="196"/>
      <c r="JJ36" s="195"/>
      <c r="JK36" s="195"/>
      <c r="JL36" s="195"/>
      <c r="JM36" s="195"/>
      <c r="JN36" s="195"/>
      <c r="JO36" s="200"/>
      <c r="JP36" s="198"/>
      <c r="JQ36" s="198"/>
      <c r="JR36" s="198"/>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7"/>
      <c r="KU36" s="198"/>
      <c r="KV36" s="198"/>
      <c r="KW36" s="198"/>
      <c r="KX36" s="195"/>
      <c r="KY36" s="199"/>
      <c r="KZ36" s="195"/>
      <c r="LA36" s="195"/>
      <c r="LB36" s="195"/>
      <c r="LC36" s="195"/>
      <c r="LD36" s="195"/>
      <c r="LE36" s="196"/>
      <c r="LF36" s="195"/>
      <c r="LG36" s="195"/>
      <c r="LH36" s="195"/>
      <c r="LI36" s="195"/>
      <c r="LJ36" s="195"/>
      <c r="LK36" s="200"/>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13"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4"/>
      <c r="D38" s="148" t="str">
        <f t="shared" si="0"/>
        <v>4h30min</v>
      </c>
      <c r="E38" s="35">
        <v>54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190"/>
      <c r="NU38" s="190"/>
      <c r="NV38" s="190"/>
      <c r="NW38" s="190"/>
      <c r="NX38" s="190"/>
      <c r="NY38" s="193"/>
      <c r="NZ38" s="190"/>
      <c r="OA38" s="190"/>
      <c r="OB38" s="190"/>
      <c r="OC38" s="190"/>
      <c r="OD38" s="190"/>
      <c r="OE38" s="194"/>
      <c r="OF38" s="189"/>
      <c r="OG38" s="189"/>
      <c r="OH38" s="189"/>
      <c r="OI38" s="189"/>
      <c r="OJ38" s="190"/>
      <c r="OK38" s="193"/>
      <c r="OL38" s="190"/>
      <c r="OM38" s="190"/>
      <c r="ON38" s="190"/>
      <c r="OO38" s="190"/>
      <c r="OP38" s="190"/>
      <c r="OQ38" s="194"/>
      <c r="OR38" s="190"/>
      <c r="OS38" s="190"/>
      <c r="OT38" s="190"/>
      <c r="OU38" s="190"/>
      <c r="OV38" s="190"/>
      <c r="OW38" s="193"/>
      <c r="OX38" s="37"/>
      <c r="OY38" s="37"/>
      <c r="OZ38" s="37"/>
      <c r="PA38" s="37"/>
      <c r="PB38" s="37"/>
      <c r="PC38" s="75"/>
      <c r="PD38" s="37"/>
      <c r="PE38" s="37"/>
      <c r="PF38" s="37"/>
      <c r="PG38" s="37"/>
      <c r="PH38" s="37"/>
      <c r="PI38" s="38"/>
      <c r="PJ38" s="188"/>
      <c r="PK38" s="189"/>
      <c r="PL38" s="189"/>
      <c r="PM38" s="189"/>
      <c r="PN38" s="190"/>
      <c r="PO38" s="191"/>
      <c r="PP38" s="190"/>
      <c r="PQ38" s="190"/>
      <c r="PR38" s="190"/>
      <c r="PS38" s="190"/>
      <c r="PT38" s="190"/>
      <c r="PU38" s="193"/>
      <c r="PV38" s="190"/>
      <c r="PW38" s="190"/>
      <c r="PX38" s="190"/>
      <c r="PY38" s="190"/>
      <c r="PZ38" s="190"/>
      <c r="QA38" s="194"/>
      <c r="QB38" s="190"/>
      <c r="QC38" s="190"/>
      <c r="QD38" s="190"/>
      <c r="QE38" s="190"/>
      <c r="QF38" s="190"/>
      <c r="QG38" s="193"/>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13"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1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13"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1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13"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4"/>
      <c r="D44" s="148" t="str">
        <f t="shared" si="0"/>
        <v>3h25min</v>
      </c>
      <c r="E44" s="35">
        <v>41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190"/>
      <c r="QI44" s="190"/>
      <c r="QJ44" s="190"/>
      <c r="QK44" s="190"/>
      <c r="QL44" s="190"/>
      <c r="QM44" s="194"/>
      <c r="QN44" s="189"/>
      <c r="QO44" s="189"/>
      <c r="QP44" s="189"/>
      <c r="QQ44" s="189"/>
      <c r="QR44" s="190"/>
      <c r="QS44" s="193"/>
      <c r="QT44" s="190"/>
      <c r="QU44" s="190"/>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189"/>
      <c r="WL44" s="190"/>
      <c r="WM44" s="191"/>
      <c r="WN44" s="190"/>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13"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1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13"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15"/>
      <c r="D48" s="148" t="str">
        <f t="shared" si="0"/>
        <v>0h30min</v>
      </c>
      <c r="E48" s="27">
        <v>6</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13"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4"/>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13"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1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13"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4"/>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13"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1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13"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13"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13"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1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13"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4"/>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13"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4"/>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13"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1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13"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13"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1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13"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1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13"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1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13"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1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1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1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1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1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1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1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1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1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4"/>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1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1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1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31" t="s">
        <v>9</v>
      </c>
      <c r="D95" s="232"/>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33"/>
      <c r="D96" s="234"/>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27" t="s">
        <v>10</v>
      </c>
      <c r="D97" s="228"/>
      <c r="E97" s="118">
        <f>SUM(E16,E18,E20,E22,E24,E26,E28,E30,E32,E34,E36,E38,E40,E42,E44,E46,E48,E50,E52,E54,E56,E58,E60,E62,E64,E66,E68,E70,E72,E74,E76,E78,E80,E82,E84,E86,E88,E90,E92,E94)</f>
        <v>388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29"/>
      <c r="D98" s="230"/>
      <c r="E98" s="122" t="str">
        <f xml:space="preserve"> setValueToTime(E97)</f>
        <v>32h20min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156" activePane="bottomLeft" state="frozen"/>
      <selection activeCell="BC13" sqref="BC13"/>
      <selection pane="bottomLeft" activeCell="G169" sqref="G16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5" t="s">
        <v>15</v>
      </c>
      <c r="F3" s="236"/>
      <c r="G3" s="46"/>
    </row>
    <row r="4" spans="1:7" s="52" customFormat="1" ht="27.75" thickBot="1" x14ac:dyDescent="0.35">
      <c r="A4" s="192" t="s">
        <v>121</v>
      </c>
      <c r="B4" s="54">
        <v>12</v>
      </c>
      <c r="C4" s="152" t="str">
        <f xml:space="preserve"> IF(B4="","",setValueToTime(B4))</f>
        <v>1h</v>
      </c>
      <c r="D4" s="165" t="s">
        <v>133</v>
      </c>
      <c r="E4" s="237"/>
      <c r="F4" s="238"/>
      <c r="G4" s="51"/>
    </row>
    <row r="5" spans="1:7" s="52" customFormat="1" ht="15" thickBot="1" x14ac:dyDescent="0.35">
      <c r="A5" s="111" t="s">
        <v>28</v>
      </c>
      <c r="B5" s="84">
        <f>SUM(B4:B4)</f>
        <v>12</v>
      </c>
      <c r="C5" s="111" t="str">
        <f xml:space="preserve"> setValueToTime(B5)</f>
        <v>1h</v>
      </c>
      <c r="D5" s="120"/>
      <c r="E5" s="239"/>
      <c r="F5" s="240"/>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5" t="s">
        <v>15</v>
      </c>
      <c r="F8" s="236"/>
      <c r="G8" s="46"/>
    </row>
    <row r="9" spans="1:7" s="52" customFormat="1" ht="27" x14ac:dyDescent="0.3">
      <c r="A9" s="48" t="s">
        <v>94</v>
      </c>
      <c r="B9" s="49">
        <v>37</v>
      </c>
      <c r="C9" s="152" t="str">
        <f xml:space="preserve"> IF(B9="","",setValueToTime(B9))</f>
        <v>3h5min</v>
      </c>
      <c r="D9" s="165" t="s">
        <v>160</v>
      </c>
      <c r="E9" s="237"/>
      <c r="F9" s="238"/>
      <c r="G9" s="51"/>
    </row>
    <row r="10" spans="1:7" s="52" customFormat="1" ht="15" thickBot="1" x14ac:dyDescent="0.35">
      <c r="A10" s="53" t="s">
        <v>93</v>
      </c>
      <c r="B10" s="54">
        <v>1</v>
      </c>
      <c r="C10" s="155" t="str">
        <f t="shared" ref="C10" si="0" xml:space="preserve"> IF(B10="","",setValueToTime(B10))</f>
        <v>0h5min</v>
      </c>
      <c r="D10" s="166" t="s">
        <v>118</v>
      </c>
      <c r="E10" s="241"/>
      <c r="F10" s="242"/>
      <c r="G10" s="51"/>
    </row>
    <row r="11" spans="1:7" s="52" customFormat="1" ht="15" thickBot="1" x14ac:dyDescent="0.35">
      <c r="A11" s="111" t="s">
        <v>28</v>
      </c>
      <c r="B11" s="84">
        <f>SUM(B9:B10)</f>
        <v>38</v>
      </c>
      <c r="C11" s="111" t="str">
        <f xml:space="preserve"> setValueToTime(B11)</f>
        <v>3h10min</v>
      </c>
      <c r="D11" s="120"/>
      <c r="E11" s="239"/>
      <c r="F11" s="240"/>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5" t="s">
        <v>15</v>
      </c>
      <c r="F14" s="236"/>
      <c r="G14" s="46"/>
    </row>
    <row r="15" spans="1:7" s="52" customFormat="1" x14ac:dyDescent="0.3">
      <c r="A15" s="48" t="s">
        <v>115</v>
      </c>
      <c r="B15" s="49">
        <v>47</v>
      </c>
      <c r="C15" s="152" t="str">
        <f xml:space="preserve"> IF(B15="","",setValueToTime(B15))</f>
        <v>3h55min</v>
      </c>
      <c r="D15" s="165" t="s">
        <v>154</v>
      </c>
      <c r="E15" s="237"/>
      <c r="F15" s="238"/>
      <c r="G15" s="51"/>
    </row>
    <row r="16" spans="1:7" s="52" customFormat="1" ht="15" thickBot="1" x14ac:dyDescent="0.35">
      <c r="A16" s="53" t="s">
        <v>93</v>
      </c>
      <c r="B16" s="54">
        <v>1</v>
      </c>
      <c r="C16" s="155" t="str">
        <f t="shared" ref="C16" si="1" xml:space="preserve"> IF(B16="","",setValueToTime(B16))</f>
        <v>0h5min</v>
      </c>
      <c r="D16" s="166" t="s">
        <v>118</v>
      </c>
      <c r="E16" s="241"/>
      <c r="F16" s="242"/>
      <c r="G16" s="51"/>
    </row>
    <row r="17" spans="1:7" s="52" customFormat="1" ht="15" thickBot="1" x14ac:dyDescent="0.35">
      <c r="A17" s="111" t="s">
        <v>28</v>
      </c>
      <c r="B17" s="84">
        <f>SUM(B15:B16)</f>
        <v>48</v>
      </c>
      <c r="C17" s="111" t="str">
        <f xml:space="preserve"> setValueToTime(B17)</f>
        <v>4h</v>
      </c>
      <c r="D17" s="120"/>
      <c r="E17" s="239"/>
      <c r="F17" s="240"/>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5" t="s">
        <v>15</v>
      </c>
      <c r="F20" s="236"/>
      <c r="G20" s="46"/>
    </row>
    <row r="21" spans="1:7" s="52" customFormat="1" ht="27" x14ac:dyDescent="0.3">
      <c r="A21" s="48" t="s">
        <v>149</v>
      </c>
      <c r="B21" s="49">
        <v>37</v>
      </c>
      <c r="C21" s="152" t="str">
        <f xml:space="preserve"> IF(B21="","",setValueToTime(B21))</f>
        <v>3h5min</v>
      </c>
      <c r="D21" s="165" t="s">
        <v>152</v>
      </c>
      <c r="E21" s="237"/>
      <c r="F21" s="238"/>
      <c r="G21" s="51"/>
    </row>
    <row r="22" spans="1:7" s="52" customFormat="1" ht="15" thickBot="1" x14ac:dyDescent="0.35">
      <c r="A22" s="53" t="s">
        <v>93</v>
      </c>
      <c r="B22" s="54">
        <v>1</v>
      </c>
      <c r="C22" s="155" t="str">
        <f t="shared" ref="C22" si="2" xml:space="preserve"> IF(B22="","",setValueToTime(B22))</f>
        <v>0h5min</v>
      </c>
      <c r="D22" s="166" t="s">
        <v>118</v>
      </c>
      <c r="E22" s="241"/>
      <c r="F22" s="242"/>
      <c r="G22" s="51"/>
    </row>
    <row r="23" spans="1:7" s="52" customFormat="1" ht="15" thickBot="1" x14ac:dyDescent="0.35">
      <c r="A23" s="111" t="s">
        <v>28</v>
      </c>
      <c r="B23" s="84">
        <f>SUM(B21:B22)</f>
        <v>38</v>
      </c>
      <c r="C23" s="111" t="str">
        <f xml:space="preserve"> setValueToTime(B23)</f>
        <v>3h10min</v>
      </c>
      <c r="D23" s="120"/>
      <c r="E23" s="239"/>
      <c r="F23" s="240"/>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5" t="s">
        <v>15</v>
      </c>
      <c r="F26" s="236"/>
      <c r="G26" s="46"/>
    </row>
    <row r="27" spans="1:7" s="52" customFormat="1" x14ac:dyDescent="0.3">
      <c r="A27" s="53" t="s">
        <v>98</v>
      </c>
      <c r="B27" s="49">
        <v>47</v>
      </c>
      <c r="C27" s="152" t="str">
        <f xml:space="preserve"> IF(B27="","",setValueToTime(B27))</f>
        <v>3h55min</v>
      </c>
      <c r="D27" s="55" t="s">
        <v>153</v>
      </c>
      <c r="E27" s="237"/>
      <c r="F27" s="238"/>
      <c r="G27" s="51"/>
    </row>
    <row r="28" spans="1:7" s="52" customFormat="1" ht="15" thickBot="1" x14ac:dyDescent="0.35">
      <c r="A28" s="53" t="s">
        <v>93</v>
      </c>
      <c r="B28" s="54">
        <v>1</v>
      </c>
      <c r="C28" s="155" t="str">
        <f t="shared" ref="C28" si="3" xml:space="preserve"> IF(B28="","",setValueToTime(B28))</f>
        <v>0h5min</v>
      </c>
      <c r="D28" s="166" t="s">
        <v>118</v>
      </c>
      <c r="E28" s="241"/>
      <c r="F28" s="242"/>
      <c r="G28" s="51"/>
    </row>
    <row r="29" spans="1:7" s="52" customFormat="1" ht="15" thickBot="1" x14ac:dyDescent="0.35">
      <c r="A29" s="111" t="s">
        <v>28</v>
      </c>
      <c r="B29" s="84">
        <f>SUM(B27:B28)</f>
        <v>48</v>
      </c>
      <c r="C29" s="111" t="str">
        <f xml:space="preserve"> setValueToTime(B29)</f>
        <v>4h</v>
      </c>
      <c r="D29" s="120"/>
      <c r="E29" s="239"/>
      <c r="F29" s="240"/>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5" t="s">
        <v>15</v>
      </c>
      <c r="F32" s="236"/>
      <c r="G32" s="46"/>
    </row>
    <row r="33" spans="1:7" s="52" customFormat="1" ht="40.5" x14ac:dyDescent="0.3">
      <c r="A33" s="48" t="s">
        <v>106</v>
      </c>
      <c r="B33" s="49">
        <v>37</v>
      </c>
      <c r="C33" s="152" t="str">
        <f xml:space="preserve"> IF(B33="","",setValueToTime(B33))</f>
        <v>3h5min</v>
      </c>
      <c r="D33" s="165" t="s">
        <v>150</v>
      </c>
      <c r="E33" s="237"/>
      <c r="F33" s="238"/>
      <c r="G33" s="51"/>
    </row>
    <row r="34" spans="1:7" s="52" customFormat="1" ht="15" thickBot="1" x14ac:dyDescent="0.35">
      <c r="A34" s="53" t="s">
        <v>93</v>
      </c>
      <c r="B34" s="54">
        <v>1</v>
      </c>
      <c r="C34" s="155" t="str">
        <f t="shared" ref="C34" si="4" xml:space="preserve"> IF(B34="","",setValueToTime(B34))</f>
        <v>0h5min</v>
      </c>
      <c r="D34" s="166" t="s">
        <v>118</v>
      </c>
      <c r="E34" s="241"/>
      <c r="F34" s="242"/>
      <c r="G34" s="51"/>
    </row>
    <row r="35" spans="1:7" s="52" customFormat="1" ht="15" thickBot="1" x14ac:dyDescent="0.35">
      <c r="A35" s="111" t="s">
        <v>28</v>
      </c>
      <c r="B35" s="84">
        <f>SUM(B33:B34)</f>
        <v>38</v>
      </c>
      <c r="C35" s="111" t="str">
        <f xml:space="preserve"> setValueToTime(B35)</f>
        <v>3h10min</v>
      </c>
      <c r="D35" s="120"/>
      <c r="E35" s="239"/>
      <c r="F35" s="240"/>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5" t="s">
        <v>15</v>
      </c>
      <c r="F38" s="236"/>
      <c r="G38" s="46"/>
    </row>
    <row r="39" spans="1:7" s="52" customFormat="1" ht="40.5" x14ac:dyDescent="0.3">
      <c r="A39" s="48" t="s">
        <v>107</v>
      </c>
      <c r="B39" s="49">
        <v>20</v>
      </c>
      <c r="C39" s="152" t="str">
        <f xml:space="preserve"> IF(B39="","",setValueToTime(B39))</f>
        <v>1h40min</v>
      </c>
      <c r="D39" s="165" t="s">
        <v>151</v>
      </c>
      <c r="E39" s="237"/>
      <c r="F39" s="238"/>
      <c r="G39" s="51"/>
    </row>
    <row r="40" spans="1:7" s="52" customFormat="1" ht="27" x14ac:dyDescent="0.3">
      <c r="A40" s="53" t="s">
        <v>123</v>
      </c>
      <c r="B40" s="54">
        <v>17</v>
      </c>
      <c r="C40" s="153" t="str">
        <f t="shared" ref="C40:C41" si="5" xml:space="preserve"> IF(B40="","",setValueToTime(B40))</f>
        <v>1h25min</v>
      </c>
      <c r="D40" s="166" t="s">
        <v>148</v>
      </c>
      <c r="E40" s="243"/>
      <c r="F40" s="244"/>
      <c r="G40" s="51"/>
    </row>
    <row r="41" spans="1:7" s="52" customFormat="1" ht="15" thickBot="1" x14ac:dyDescent="0.35">
      <c r="A41" s="53" t="s">
        <v>93</v>
      </c>
      <c r="B41" s="54">
        <v>1</v>
      </c>
      <c r="C41" s="155" t="str">
        <f t="shared" si="5"/>
        <v>0h5min</v>
      </c>
      <c r="D41" s="166" t="s">
        <v>118</v>
      </c>
      <c r="E41" s="241"/>
      <c r="F41" s="242"/>
      <c r="G41" s="51"/>
    </row>
    <row r="42" spans="1:7" s="52" customFormat="1" ht="15" thickBot="1" x14ac:dyDescent="0.35">
      <c r="A42" s="111" t="s">
        <v>28</v>
      </c>
      <c r="B42" s="84">
        <f>SUM(B39:B41)</f>
        <v>38</v>
      </c>
      <c r="C42" s="111" t="str">
        <f xml:space="preserve"> setValueToTime(B42)</f>
        <v>3h10min</v>
      </c>
      <c r="D42" s="120"/>
      <c r="E42" s="239"/>
      <c r="F42" s="240"/>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5" t="s">
        <v>15</v>
      </c>
      <c r="F45" s="236"/>
      <c r="G45" s="46"/>
    </row>
    <row r="46" spans="1:7" s="52" customFormat="1" ht="27" x14ac:dyDescent="0.3">
      <c r="A46" s="48" t="s">
        <v>123</v>
      </c>
      <c r="B46" s="49">
        <v>37</v>
      </c>
      <c r="C46" s="152" t="str">
        <f xml:space="preserve"> IF(B46="","",setValueToTime(B46))</f>
        <v>3h5min</v>
      </c>
      <c r="D46" s="165" t="s">
        <v>147</v>
      </c>
      <c r="E46" s="237"/>
      <c r="F46" s="238"/>
      <c r="G46" s="51"/>
    </row>
    <row r="47" spans="1:7" s="52" customFormat="1" ht="15" thickBot="1" x14ac:dyDescent="0.35">
      <c r="A47" s="53" t="s">
        <v>93</v>
      </c>
      <c r="B47" s="54">
        <v>1</v>
      </c>
      <c r="C47" s="155" t="str">
        <f t="shared" ref="C47" si="6" xml:space="preserve"> IF(B47="","",setValueToTime(B47))</f>
        <v>0h5min</v>
      </c>
      <c r="D47" s="166" t="s">
        <v>118</v>
      </c>
      <c r="E47" s="241"/>
      <c r="F47" s="242"/>
      <c r="G47" s="51"/>
    </row>
    <row r="48" spans="1:7" s="52" customFormat="1" ht="15" thickBot="1" x14ac:dyDescent="0.35">
      <c r="A48" s="111" t="s">
        <v>28</v>
      </c>
      <c r="B48" s="84">
        <f>SUM(B46:B47)</f>
        <v>38</v>
      </c>
      <c r="C48" s="111" t="str">
        <f xml:space="preserve"> setValueToTime(B48)</f>
        <v>3h10min</v>
      </c>
      <c r="D48" s="120"/>
      <c r="E48" s="239"/>
      <c r="F48" s="240"/>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5" t="s">
        <v>15</v>
      </c>
      <c r="F51" s="236"/>
      <c r="G51" s="46"/>
    </row>
    <row r="52" spans="1:7" s="52" customFormat="1" ht="27" x14ac:dyDescent="0.3">
      <c r="A52" s="53" t="s">
        <v>98</v>
      </c>
      <c r="B52" s="54">
        <v>47</v>
      </c>
      <c r="C52" s="152" t="str">
        <f xml:space="preserve"> IF(B52="","",setValueToTime(B52))</f>
        <v>3h55min</v>
      </c>
      <c r="D52" s="166" t="s">
        <v>145</v>
      </c>
      <c r="E52" s="237"/>
      <c r="F52" s="238"/>
      <c r="G52" s="51"/>
    </row>
    <row r="53" spans="1:7" s="52" customFormat="1" ht="15" thickBot="1" x14ac:dyDescent="0.35">
      <c r="A53" s="53" t="s">
        <v>93</v>
      </c>
      <c r="B53" s="54">
        <v>1</v>
      </c>
      <c r="C53" s="155" t="str">
        <f t="shared" ref="C53" si="7" xml:space="preserve"> IF(B53="","",setValueToTime(B53))</f>
        <v>0h5min</v>
      </c>
      <c r="D53" s="166" t="s">
        <v>118</v>
      </c>
      <c r="E53" s="241"/>
      <c r="F53" s="242"/>
      <c r="G53" s="51"/>
    </row>
    <row r="54" spans="1:7" s="52" customFormat="1" ht="15" thickBot="1" x14ac:dyDescent="0.35">
      <c r="A54" s="111" t="s">
        <v>28</v>
      </c>
      <c r="B54" s="84">
        <f>SUM(B52:B53)</f>
        <v>48</v>
      </c>
      <c r="C54" s="111" t="str">
        <f xml:space="preserve"> setValueToTime(B54)</f>
        <v>4h</v>
      </c>
      <c r="D54" s="120"/>
      <c r="E54" s="239"/>
      <c r="F54" s="240"/>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5" t="s">
        <v>15</v>
      </c>
      <c r="F57" s="236"/>
      <c r="G57" s="46"/>
    </row>
    <row r="58" spans="1:7" s="52" customFormat="1" ht="40.5" x14ac:dyDescent="0.3">
      <c r="A58" s="48" t="s">
        <v>108</v>
      </c>
      <c r="B58" s="49">
        <v>37</v>
      </c>
      <c r="C58" s="152" t="str">
        <f xml:space="preserve"> IF(B58="","",setValueToTime(B58))</f>
        <v>3h5min</v>
      </c>
      <c r="D58" s="165" t="s">
        <v>146</v>
      </c>
      <c r="E58" s="237"/>
      <c r="F58" s="238"/>
      <c r="G58" s="51"/>
    </row>
    <row r="59" spans="1:7" s="52" customFormat="1" ht="15" thickBot="1" x14ac:dyDescent="0.35">
      <c r="A59" s="53" t="s">
        <v>93</v>
      </c>
      <c r="B59" s="54">
        <v>1</v>
      </c>
      <c r="C59" s="155" t="str">
        <f t="shared" ref="C59" si="8" xml:space="preserve"> IF(B59="","",setValueToTime(B59))</f>
        <v>0h5min</v>
      </c>
      <c r="D59" s="166" t="s">
        <v>118</v>
      </c>
      <c r="E59" s="241"/>
      <c r="F59" s="242"/>
      <c r="G59" s="51"/>
    </row>
    <row r="60" spans="1:7" s="52" customFormat="1" ht="15" thickBot="1" x14ac:dyDescent="0.35">
      <c r="A60" s="111" t="s">
        <v>28</v>
      </c>
      <c r="B60" s="84">
        <f>SUM(B58:B59)</f>
        <v>38</v>
      </c>
      <c r="C60" s="111" t="str">
        <f xml:space="preserve"> setValueToTime(B60)</f>
        <v>3h10min</v>
      </c>
      <c r="D60" s="120"/>
      <c r="E60" s="239"/>
      <c r="F60" s="240"/>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5" t="s">
        <v>15</v>
      </c>
      <c r="F63" s="236"/>
      <c r="G63" s="46"/>
    </row>
    <row r="64" spans="1:7" s="52" customFormat="1" x14ac:dyDescent="0.3">
      <c r="A64" s="53" t="s">
        <v>98</v>
      </c>
      <c r="B64" s="54">
        <v>17</v>
      </c>
      <c r="C64" s="152" t="str">
        <f xml:space="preserve"> IF(B64="","",setValueToTime(B64))</f>
        <v>1h25min</v>
      </c>
      <c r="D64" s="166" t="s">
        <v>156</v>
      </c>
      <c r="E64" s="237"/>
      <c r="F64" s="238"/>
      <c r="G64" s="51"/>
    </row>
    <row r="65" spans="1:7" s="52" customFormat="1" ht="40.5" x14ac:dyDescent="0.3">
      <c r="A65" s="53" t="s">
        <v>108</v>
      </c>
      <c r="B65" s="54">
        <v>30</v>
      </c>
      <c r="C65" s="153" t="str">
        <f t="shared" ref="C65:C66" si="9" xml:space="preserve"> IF(B65="","",setValueToTime(B65))</f>
        <v>2h30min</v>
      </c>
      <c r="D65" s="55" t="s">
        <v>144</v>
      </c>
      <c r="E65" s="243"/>
      <c r="F65" s="244"/>
      <c r="G65" s="51"/>
    </row>
    <row r="66" spans="1:7" s="52" customFormat="1" ht="15" thickBot="1" x14ac:dyDescent="0.35">
      <c r="A66" s="53" t="s">
        <v>93</v>
      </c>
      <c r="B66" s="54">
        <v>1</v>
      </c>
      <c r="C66" s="155" t="str">
        <f t="shared" si="9"/>
        <v>0h5min</v>
      </c>
      <c r="D66" s="166" t="s">
        <v>118</v>
      </c>
      <c r="E66" s="241"/>
      <c r="F66" s="242"/>
      <c r="G66" s="51"/>
    </row>
    <row r="67" spans="1:7" s="52" customFormat="1" ht="15" thickBot="1" x14ac:dyDescent="0.35">
      <c r="A67" s="111" t="s">
        <v>28</v>
      </c>
      <c r="B67" s="84">
        <f>SUM(B64:B66)</f>
        <v>48</v>
      </c>
      <c r="C67" s="111" t="str">
        <f xml:space="preserve"> setValueToTime(B67)</f>
        <v>4h</v>
      </c>
      <c r="D67" s="120"/>
      <c r="E67" s="239"/>
      <c r="F67" s="240"/>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5" t="s">
        <v>15</v>
      </c>
      <c r="F70" s="236"/>
      <c r="G70" s="46"/>
    </row>
    <row r="71" spans="1:7" s="52" customFormat="1" ht="27" x14ac:dyDescent="0.3">
      <c r="A71" s="48" t="s">
        <v>122</v>
      </c>
      <c r="B71" s="49">
        <v>15</v>
      </c>
      <c r="C71" s="153" t="str">
        <f t="shared" ref="C71:C73" si="10" xml:space="preserve"> IF(B71="","",setValueToTime(B71))</f>
        <v>1h15min</v>
      </c>
      <c r="D71" s="165" t="s">
        <v>143</v>
      </c>
      <c r="E71" s="237"/>
      <c r="F71" s="238"/>
      <c r="G71" s="51"/>
    </row>
    <row r="72" spans="1:7" s="52" customFormat="1" ht="40.5" x14ac:dyDescent="0.3">
      <c r="A72" s="53" t="s">
        <v>142</v>
      </c>
      <c r="B72" s="54">
        <v>22</v>
      </c>
      <c r="C72" s="153" t="str">
        <f t="shared" si="10"/>
        <v>1h50min</v>
      </c>
      <c r="D72" s="166" t="s">
        <v>155</v>
      </c>
      <c r="E72" s="243"/>
      <c r="F72" s="244"/>
      <c r="G72" s="51"/>
    </row>
    <row r="73" spans="1:7" s="52" customFormat="1" ht="15" thickBot="1" x14ac:dyDescent="0.35">
      <c r="A73" s="53" t="s">
        <v>93</v>
      </c>
      <c r="B73" s="54">
        <v>1</v>
      </c>
      <c r="C73" s="155" t="str">
        <f t="shared" si="10"/>
        <v>0h5min</v>
      </c>
      <c r="D73" s="166" t="s">
        <v>118</v>
      </c>
      <c r="E73" s="241"/>
      <c r="F73" s="242"/>
      <c r="G73" s="51"/>
    </row>
    <row r="74" spans="1:7" s="52" customFormat="1" ht="15" thickBot="1" x14ac:dyDescent="0.35">
      <c r="A74" s="111" t="s">
        <v>28</v>
      </c>
      <c r="B74" s="84">
        <f>SUM(B71:B73)</f>
        <v>38</v>
      </c>
      <c r="C74" s="111" t="str">
        <f xml:space="preserve"> setValueToTime(B74)</f>
        <v>3h10min</v>
      </c>
      <c r="D74" s="120"/>
      <c r="E74" s="239"/>
      <c r="F74" s="240"/>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5" t="s">
        <v>15</v>
      </c>
      <c r="F77" s="236"/>
      <c r="G77" s="46"/>
    </row>
    <row r="78" spans="1:7" s="52" customFormat="1" ht="27" x14ac:dyDescent="0.3">
      <c r="A78" s="48" t="s">
        <v>95</v>
      </c>
      <c r="B78" s="49">
        <v>6</v>
      </c>
      <c r="C78" s="152" t="str">
        <f xml:space="preserve"> IF(B78="","",setValueToTime(B78))</f>
        <v>0h30min</v>
      </c>
      <c r="D78" s="165" t="s">
        <v>139</v>
      </c>
      <c r="E78" s="237"/>
      <c r="F78" s="238"/>
      <c r="G78" s="51"/>
    </row>
    <row r="79" spans="1:7" s="52" customFormat="1" ht="27" x14ac:dyDescent="0.3">
      <c r="A79" s="53" t="s">
        <v>112</v>
      </c>
      <c r="B79" s="54">
        <v>31</v>
      </c>
      <c r="C79" s="153" t="str">
        <f t="shared" ref="C79:C80" si="11" xml:space="preserve"> IF(B79="","",setValueToTime(B79))</f>
        <v>2h35min</v>
      </c>
      <c r="D79" s="166" t="s">
        <v>140</v>
      </c>
      <c r="E79" s="243"/>
      <c r="F79" s="244"/>
      <c r="G79" s="51"/>
    </row>
    <row r="80" spans="1:7" s="52" customFormat="1" ht="15" thickBot="1" x14ac:dyDescent="0.35">
      <c r="A80" s="53" t="s">
        <v>93</v>
      </c>
      <c r="B80" s="54">
        <v>1</v>
      </c>
      <c r="C80" s="155" t="str">
        <f t="shared" si="11"/>
        <v>0h5min</v>
      </c>
      <c r="D80" s="166" t="s">
        <v>118</v>
      </c>
      <c r="E80" s="241"/>
      <c r="F80" s="242"/>
      <c r="G80" s="51"/>
    </row>
    <row r="81" spans="1:7" s="52" customFormat="1" ht="15" thickBot="1" x14ac:dyDescent="0.35">
      <c r="A81" s="111" t="s">
        <v>28</v>
      </c>
      <c r="B81" s="84">
        <f>SUM(B78:B80)</f>
        <v>38</v>
      </c>
      <c r="C81" s="111" t="str">
        <f xml:space="preserve"> setValueToTime(B81)</f>
        <v>3h10min</v>
      </c>
      <c r="D81" s="120"/>
      <c r="E81" s="239"/>
      <c r="F81" s="240"/>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5" t="s">
        <v>15</v>
      </c>
      <c r="F84" s="236"/>
      <c r="G84" s="46"/>
    </row>
    <row r="85" spans="1:7" s="52" customFormat="1" ht="27" x14ac:dyDescent="0.3">
      <c r="A85" s="48" t="s">
        <v>96</v>
      </c>
      <c r="B85" s="49">
        <v>30</v>
      </c>
      <c r="C85" s="152" t="str">
        <f xml:space="preserve"> IF(B85="","",setValueToTime(B85))</f>
        <v>2h30min</v>
      </c>
      <c r="D85" s="165" t="s">
        <v>138</v>
      </c>
      <c r="E85" s="237"/>
      <c r="F85" s="238"/>
      <c r="G85" s="51"/>
    </row>
    <row r="86" spans="1:7" s="52" customFormat="1" x14ac:dyDescent="0.3">
      <c r="A86" s="53" t="s">
        <v>110</v>
      </c>
      <c r="B86" s="54">
        <v>17</v>
      </c>
      <c r="C86" s="153" t="str">
        <f t="shared" ref="C86:C87" si="12" xml:space="preserve"> IF(B86="","",setValueToTime(B86))</f>
        <v>1h25min</v>
      </c>
      <c r="D86" s="166" t="s">
        <v>141</v>
      </c>
      <c r="E86" s="243"/>
      <c r="F86" s="244"/>
      <c r="G86" s="51"/>
    </row>
    <row r="87" spans="1:7" s="52" customFormat="1" ht="15" thickBot="1" x14ac:dyDescent="0.35">
      <c r="A87" s="53" t="s">
        <v>93</v>
      </c>
      <c r="B87" s="54">
        <v>1</v>
      </c>
      <c r="C87" s="155" t="str">
        <f t="shared" si="12"/>
        <v>0h5min</v>
      </c>
      <c r="D87" s="166" t="s">
        <v>118</v>
      </c>
      <c r="E87" s="241"/>
      <c r="F87" s="242"/>
      <c r="G87" s="51"/>
    </row>
    <row r="88" spans="1:7" s="52" customFormat="1" ht="15" thickBot="1" x14ac:dyDescent="0.35">
      <c r="A88" s="111" t="s">
        <v>28</v>
      </c>
      <c r="B88" s="84">
        <f>SUM(B85:B87)</f>
        <v>48</v>
      </c>
      <c r="C88" s="111" t="str">
        <f xml:space="preserve"> setValueToTime(B88)</f>
        <v>4h</v>
      </c>
      <c r="D88" s="120"/>
      <c r="E88" s="239"/>
      <c r="F88" s="240"/>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5" t="s">
        <v>15</v>
      </c>
      <c r="F91" s="236"/>
      <c r="G91" s="46"/>
    </row>
    <row r="92" spans="1:7" s="52" customFormat="1" ht="27" x14ac:dyDescent="0.3">
      <c r="A92" s="48" t="s">
        <v>104</v>
      </c>
      <c r="B92" s="49">
        <v>37</v>
      </c>
      <c r="C92" s="152" t="str">
        <f xml:space="preserve"> IF(B92="","",setValueToTime(B92))</f>
        <v>3h5min</v>
      </c>
      <c r="D92" s="165" t="s">
        <v>137</v>
      </c>
      <c r="E92" s="237"/>
      <c r="F92" s="238"/>
      <c r="G92" s="51"/>
    </row>
    <row r="93" spans="1:7" s="52" customFormat="1" ht="15" thickBot="1" x14ac:dyDescent="0.35">
      <c r="A93" s="53" t="s">
        <v>93</v>
      </c>
      <c r="B93" s="54">
        <v>1</v>
      </c>
      <c r="C93" s="155" t="str">
        <f t="shared" ref="C93" si="13" xml:space="preserve"> IF(B93="","",setValueToTime(B93))</f>
        <v>0h5min</v>
      </c>
      <c r="D93" s="166" t="s">
        <v>118</v>
      </c>
      <c r="E93" s="241"/>
      <c r="F93" s="242"/>
      <c r="G93" s="51"/>
    </row>
    <row r="94" spans="1:7" s="52" customFormat="1" ht="15" thickBot="1" x14ac:dyDescent="0.35">
      <c r="A94" s="111" t="s">
        <v>28</v>
      </c>
      <c r="B94" s="84">
        <f>SUM(B92:B93)</f>
        <v>38</v>
      </c>
      <c r="C94" s="111" t="str">
        <f xml:space="preserve"> setValueToTime(B94)</f>
        <v>3h10min</v>
      </c>
      <c r="D94" s="120"/>
      <c r="E94" s="239"/>
      <c r="F94" s="240"/>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5" t="s">
        <v>15</v>
      </c>
      <c r="F97" s="236"/>
      <c r="G97" s="46"/>
    </row>
    <row r="98" spans="1:7" s="52" customFormat="1" ht="27" x14ac:dyDescent="0.3">
      <c r="A98" s="48" t="s">
        <v>111</v>
      </c>
      <c r="B98" s="49">
        <v>2</v>
      </c>
      <c r="C98" s="152" t="str">
        <f xml:space="preserve"> IF(B98="","",setValueToTime(B98))</f>
        <v>0h10min</v>
      </c>
      <c r="D98" s="165" t="s">
        <v>136</v>
      </c>
      <c r="E98" s="237"/>
      <c r="F98" s="238"/>
      <c r="G98" s="51"/>
    </row>
    <row r="99" spans="1:7" s="52" customFormat="1" ht="27" x14ac:dyDescent="0.3">
      <c r="A99" s="53" t="s">
        <v>105</v>
      </c>
      <c r="B99" s="54">
        <v>26</v>
      </c>
      <c r="C99" s="153" t="str">
        <f t="shared" ref="C99:C101" si="14" xml:space="preserve"> IF(B99="","",setValueToTime(B99))</f>
        <v>2h10min</v>
      </c>
      <c r="D99" s="166" t="s">
        <v>135</v>
      </c>
      <c r="E99" s="243"/>
      <c r="F99" s="244"/>
      <c r="G99" s="51"/>
    </row>
    <row r="100" spans="1:7" s="52" customFormat="1" ht="40.5" x14ac:dyDescent="0.3">
      <c r="A100" s="53" t="s">
        <v>113</v>
      </c>
      <c r="B100" s="54">
        <v>9</v>
      </c>
      <c r="C100" s="153" t="str">
        <f t="shared" si="14"/>
        <v>0h45min</v>
      </c>
      <c r="D100" s="166" t="s">
        <v>159</v>
      </c>
      <c r="E100" s="243"/>
      <c r="F100" s="244"/>
      <c r="G100" s="51"/>
    </row>
    <row r="101" spans="1:7" s="52" customFormat="1" ht="15" thickBot="1" x14ac:dyDescent="0.35">
      <c r="A101" s="53" t="s">
        <v>93</v>
      </c>
      <c r="B101" s="54">
        <v>1</v>
      </c>
      <c r="C101" s="155" t="str">
        <f t="shared" si="14"/>
        <v>0h5min</v>
      </c>
      <c r="D101" s="166" t="s">
        <v>118</v>
      </c>
      <c r="E101" s="241"/>
      <c r="F101" s="242"/>
      <c r="G101" s="51"/>
    </row>
    <row r="102" spans="1:7" s="52" customFormat="1" ht="15" thickBot="1" x14ac:dyDescent="0.35">
      <c r="A102" s="111" t="s">
        <v>28</v>
      </c>
      <c r="B102" s="84">
        <f>SUM(B98:B101)</f>
        <v>38</v>
      </c>
      <c r="C102" s="111" t="str">
        <f xml:space="preserve"> setValueToTime(B102)</f>
        <v>3h10min</v>
      </c>
      <c r="D102" s="120"/>
      <c r="E102" s="239"/>
      <c r="F102" s="240"/>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5" t="s">
        <v>15</v>
      </c>
      <c r="F105" s="236"/>
      <c r="G105" s="46"/>
    </row>
    <row r="106" spans="1:7" s="52" customFormat="1" ht="27" x14ac:dyDescent="0.3">
      <c r="A106" s="48" t="s">
        <v>114</v>
      </c>
      <c r="B106" s="49">
        <v>37</v>
      </c>
      <c r="C106" s="152" t="str">
        <f xml:space="preserve"> IF(B106="","",setValueToTime(B106))</f>
        <v>3h5min</v>
      </c>
      <c r="D106" s="165" t="s">
        <v>134</v>
      </c>
      <c r="E106" s="237"/>
      <c r="F106" s="238"/>
      <c r="G106" s="51"/>
    </row>
    <row r="107" spans="1:7" s="52" customFormat="1" ht="15" thickBot="1" x14ac:dyDescent="0.35">
      <c r="A107" s="53" t="s">
        <v>93</v>
      </c>
      <c r="B107" s="54">
        <v>1</v>
      </c>
      <c r="C107" s="155" t="str">
        <f t="shared" ref="C107" si="15" xml:space="preserve"> IF(B107="","",setValueToTime(B107))</f>
        <v>0h5min</v>
      </c>
      <c r="D107" s="166" t="s">
        <v>118</v>
      </c>
      <c r="E107" s="241"/>
      <c r="F107" s="242"/>
      <c r="G107" s="51"/>
    </row>
    <row r="108" spans="1:7" s="52" customFormat="1" ht="15" thickBot="1" x14ac:dyDescent="0.35">
      <c r="A108" s="111" t="s">
        <v>28</v>
      </c>
      <c r="B108" s="84">
        <f>SUM(B106:B107)</f>
        <v>38</v>
      </c>
      <c r="C108" s="111" t="str">
        <f xml:space="preserve"> setValueToTime(B108)</f>
        <v>3h10min</v>
      </c>
      <c r="D108" s="120"/>
      <c r="E108" s="239"/>
      <c r="F108" s="240"/>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5" t="s">
        <v>15</v>
      </c>
      <c r="F111" s="236"/>
      <c r="G111" s="46"/>
    </row>
    <row r="112" spans="1:7" s="52" customFormat="1" ht="15" thickBot="1" x14ac:dyDescent="0.35">
      <c r="A112" s="48" t="s">
        <v>4</v>
      </c>
      <c r="B112" s="49">
        <v>38</v>
      </c>
      <c r="C112" s="152" t="str">
        <f xml:space="preserve"> IF(B112="","",setValueToTime(B112))</f>
        <v>3h10min</v>
      </c>
      <c r="D112" s="165" t="s">
        <v>119</v>
      </c>
      <c r="E112" s="237"/>
      <c r="F112" s="238"/>
      <c r="G112" s="51"/>
    </row>
    <row r="113" spans="1:7" s="52" customFormat="1" ht="15" thickBot="1" x14ac:dyDescent="0.35">
      <c r="A113" s="111" t="s">
        <v>28</v>
      </c>
      <c r="B113" s="84">
        <f>SUM(B112:B112)</f>
        <v>38</v>
      </c>
      <c r="C113" s="111" t="str">
        <f xml:space="preserve"> setValueToTime(B113)</f>
        <v>3h10min</v>
      </c>
      <c r="D113" s="120"/>
      <c r="E113" s="239"/>
      <c r="F113" s="240"/>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5" t="s">
        <v>15</v>
      </c>
      <c r="F116" s="236"/>
      <c r="G116" s="46"/>
    </row>
    <row r="117" spans="1:7" s="52" customFormat="1" ht="15" thickBot="1" x14ac:dyDescent="0.35">
      <c r="A117" s="48" t="s">
        <v>4</v>
      </c>
      <c r="B117" s="49">
        <v>48</v>
      </c>
      <c r="C117" s="152" t="str">
        <f xml:space="preserve"> IF(B117="","",setValueToTime(B117))</f>
        <v>4h</v>
      </c>
      <c r="D117" s="165" t="s">
        <v>119</v>
      </c>
      <c r="E117" s="237"/>
      <c r="F117" s="238"/>
      <c r="G117" s="51"/>
    </row>
    <row r="118" spans="1:7" s="52" customFormat="1" ht="15" thickBot="1" x14ac:dyDescent="0.35">
      <c r="A118" s="111" t="s">
        <v>28</v>
      </c>
      <c r="B118" s="84">
        <f>SUM(B117:B117)</f>
        <v>48</v>
      </c>
      <c r="C118" s="111" t="str">
        <f xml:space="preserve"> setValueToTime(B118)</f>
        <v>4h</v>
      </c>
      <c r="D118" s="120"/>
      <c r="E118" s="239"/>
      <c r="F118" s="240"/>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5" t="s">
        <v>15</v>
      </c>
      <c r="F121" s="236"/>
      <c r="G121" s="46"/>
    </row>
    <row r="122" spans="1:7" s="52" customFormat="1" ht="40.5" x14ac:dyDescent="0.3">
      <c r="A122" s="48" t="s">
        <v>116</v>
      </c>
      <c r="B122" s="49">
        <v>37</v>
      </c>
      <c r="C122" s="152" t="str">
        <f xml:space="preserve"> IF(B122="","",setValueToTime(B122))</f>
        <v>3h5min</v>
      </c>
      <c r="D122" s="165" t="s">
        <v>132</v>
      </c>
      <c r="E122" s="245" t="s">
        <v>131</v>
      </c>
      <c r="F122" s="238"/>
      <c r="G122" s="51"/>
    </row>
    <row r="123" spans="1:7" s="52" customFormat="1" ht="15" thickBot="1" x14ac:dyDescent="0.35">
      <c r="A123" s="53" t="s">
        <v>93</v>
      </c>
      <c r="B123" s="54">
        <v>1</v>
      </c>
      <c r="C123" s="155" t="str">
        <f t="shared" ref="C123" si="16" xml:space="preserve"> IF(B123="","",setValueToTime(B123))</f>
        <v>0h5min</v>
      </c>
      <c r="D123" s="166" t="s">
        <v>118</v>
      </c>
      <c r="E123" s="241"/>
      <c r="F123" s="242"/>
      <c r="G123" s="51"/>
    </row>
    <row r="124" spans="1:7" s="52" customFormat="1" ht="15" thickBot="1" x14ac:dyDescent="0.35">
      <c r="A124" s="111" t="s">
        <v>28</v>
      </c>
      <c r="B124" s="84">
        <f>SUM(B122:B123)</f>
        <v>38</v>
      </c>
      <c r="C124" s="111" t="str">
        <f xml:space="preserve"> setValueToTime(B124)</f>
        <v>3h10min</v>
      </c>
      <c r="D124" s="120"/>
      <c r="E124" s="239"/>
      <c r="F124" s="240"/>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5" t="s">
        <v>15</v>
      </c>
      <c r="F127" s="236"/>
      <c r="G127" s="46"/>
    </row>
    <row r="128" spans="1:7" s="52" customFormat="1" ht="27" x14ac:dyDescent="0.3">
      <c r="A128" s="48" t="s">
        <v>117</v>
      </c>
      <c r="B128" s="49">
        <v>47</v>
      </c>
      <c r="C128" s="152" t="str">
        <f xml:space="preserve"> IF(B128="","",setValueToTime(B128))</f>
        <v>3h55min</v>
      </c>
      <c r="D128" s="165" t="s">
        <v>130</v>
      </c>
      <c r="E128" s="237"/>
      <c r="F128" s="238"/>
      <c r="G128" s="51"/>
    </row>
    <row r="129" spans="1:7" s="52" customFormat="1" ht="15" thickBot="1" x14ac:dyDescent="0.35">
      <c r="A129" s="53" t="s">
        <v>93</v>
      </c>
      <c r="B129" s="54">
        <v>1</v>
      </c>
      <c r="C129" s="155" t="str">
        <f t="shared" ref="C129" si="17" xml:space="preserve"> IF(B129="","",setValueToTime(B129))</f>
        <v>0h5min</v>
      </c>
      <c r="D129" s="166" t="s">
        <v>118</v>
      </c>
      <c r="E129" s="241"/>
      <c r="F129" s="242"/>
      <c r="G129" s="51"/>
    </row>
    <row r="130" spans="1:7" s="52" customFormat="1" ht="15" thickBot="1" x14ac:dyDescent="0.35">
      <c r="A130" s="111" t="s">
        <v>28</v>
      </c>
      <c r="B130" s="84">
        <f>SUM(B128:B129)</f>
        <v>48</v>
      </c>
      <c r="C130" s="111" t="str">
        <f xml:space="preserve"> setValueToTime(B130)</f>
        <v>4h</v>
      </c>
      <c r="D130" s="120"/>
      <c r="E130" s="239"/>
      <c r="F130" s="240"/>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5" t="s">
        <v>15</v>
      </c>
      <c r="F133" s="236"/>
      <c r="G133" s="46"/>
    </row>
    <row r="134" spans="1:7" s="52" customFormat="1" ht="27" x14ac:dyDescent="0.3">
      <c r="A134" s="48" t="s">
        <v>101</v>
      </c>
      <c r="B134" s="49">
        <v>37</v>
      </c>
      <c r="C134" s="152" t="str">
        <f xml:space="preserve"> IF(B134="","",setValueToTime(B134))</f>
        <v>3h5min</v>
      </c>
      <c r="D134" s="165" t="s">
        <v>128</v>
      </c>
      <c r="E134" s="237"/>
      <c r="F134" s="238"/>
      <c r="G134" s="51"/>
    </row>
    <row r="135" spans="1:7" s="52" customFormat="1" ht="15" thickBot="1" x14ac:dyDescent="0.35">
      <c r="A135" s="53" t="s">
        <v>93</v>
      </c>
      <c r="B135" s="54">
        <v>1</v>
      </c>
      <c r="C135" s="155" t="str">
        <f t="shared" ref="C135" si="18" xml:space="preserve"> IF(B135="","",setValueToTime(B135))</f>
        <v>0h5min</v>
      </c>
      <c r="D135" s="166" t="s">
        <v>118</v>
      </c>
      <c r="E135" s="241"/>
      <c r="F135" s="242"/>
      <c r="G135" s="51"/>
    </row>
    <row r="136" spans="1:7" s="52" customFormat="1" ht="15" thickBot="1" x14ac:dyDescent="0.35">
      <c r="A136" s="111" t="s">
        <v>28</v>
      </c>
      <c r="B136" s="84">
        <f>SUM(B134:B135)</f>
        <v>38</v>
      </c>
      <c r="C136" s="111" t="str">
        <f xml:space="preserve"> setValueToTime(B136)</f>
        <v>3h10min</v>
      </c>
      <c r="D136" s="120"/>
      <c r="E136" s="239"/>
      <c r="F136" s="240"/>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5" t="s">
        <v>15</v>
      </c>
      <c r="F139" s="236"/>
      <c r="G139" s="46"/>
    </row>
    <row r="140" spans="1:7" s="52" customFormat="1" ht="27" x14ac:dyDescent="0.3">
      <c r="A140" s="48" t="s">
        <v>101</v>
      </c>
      <c r="B140" s="49">
        <v>37</v>
      </c>
      <c r="C140" s="152" t="str">
        <f xml:space="preserve"> IF(B140="","",setValueToTime(B140))</f>
        <v>3h5min</v>
      </c>
      <c r="D140" s="165" t="s">
        <v>129</v>
      </c>
      <c r="E140" s="237"/>
      <c r="F140" s="238"/>
      <c r="G140" s="51"/>
    </row>
    <row r="141" spans="1:7" s="52" customFormat="1" ht="15" thickBot="1" x14ac:dyDescent="0.35">
      <c r="A141" s="53" t="s">
        <v>93</v>
      </c>
      <c r="B141" s="54">
        <v>1</v>
      </c>
      <c r="C141" s="155" t="str">
        <f t="shared" ref="C141" si="19" xml:space="preserve"> IF(B141="","",setValueToTime(B141))</f>
        <v>0h5min</v>
      </c>
      <c r="D141" s="166" t="s">
        <v>118</v>
      </c>
      <c r="E141" s="241"/>
      <c r="F141" s="242"/>
      <c r="G141" s="51"/>
    </row>
    <row r="142" spans="1:7" s="52" customFormat="1" ht="15" thickBot="1" x14ac:dyDescent="0.35">
      <c r="A142" s="111" t="s">
        <v>28</v>
      </c>
      <c r="B142" s="84">
        <f>SUM(B140:B141)</f>
        <v>38</v>
      </c>
      <c r="C142" s="111" t="str">
        <f xml:space="preserve"> setValueToTime(B142)</f>
        <v>3h10min</v>
      </c>
      <c r="D142" s="120"/>
      <c r="E142" s="239"/>
      <c r="F142" s="240"/>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5" t="s">
        <v>15</v>
      </c>
      <c r="F145" s="236"/>
      <c r="G145" s="46"/>
    </row>
    <row r="146" spans="1:7" s="52" customFormat="1" ht="54" x14ac:dyDescent="0.3">
      <c r="A146" s="48" t="s">
        <v>102</v>
      </c>
      <c r="B146" s="49">
        <v>37</v>
      </c>
      <c r="C146" s="152" t="str">
        <f xml:space="preserve"> IF(B146="","",setValueToTime(B146))</f>
        <v>3h5min</v>
      </c>
      <c r="D146" s="165" t="s">
        <v>127</v>
      </c>
      <c r="E146" s="237"/>
      <c r="F146" s="238"/>
      <c r="G146" s="51"/>
    </row>
    <row r="147" spans="1:7" s="52" customFormat="1" ht="15" thickBot="1" x14ac:dyDescent="0.35">
      <c r="A147" s="53" t="s">
        <v>93</v>
      </c>
      <c r="B147" s="54">
        <v>1</v>
      </c>
      <c r="C147" s="155" t="str">
        <f t="shared" ref="C147" si="20" xml:space="preserve"> IF(B147="","",setValueToTime(B147))</f>
        <v>0h5min</v>
      </c>
      <c r="D147" s="166" t="s">
        <v>118</v>
      </c>
      <c r="E147" s="241"/>
      <c r="F147" s="242"/>
      <c r="G147" s="51"/>
    </row>
    <row r="148" spans="1:7" s="52" customFormat="1" ht="15" thickBot="1" x14ac:dyDescent="0.35">
      <c r="A148" s="111" t="s">
        <v>28</v>
      </c>
      <c r="B148" s="84">
        <f>SUM(B146:B147)</f>
        <v>38</v>
      </c>
      <c r="C148" s="111" t="str">
        <f xml:space="preserve"> setValueToTime(B148)</f>
        <v>3h10min</v>
      </c>
      <c r="D148" s="120"/>
      <c r="E148" s="239"/>
      <c r="F148" s="240"/>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5" t="s">
        <v>15</v>
      </c>
      <c r="F151" s="236"/>
      <c r="G151" s="46"/>
    </row>
    <row r="152" spans="1:7" s="52" customFormat="1" ht="27" x14ac:dyDescent="0.3">
      <c r="A152" s="48" t="s">
        <v>103</v>
      </c>
      <c r="B152" s="49">
        <v>6</v>
      </c>
      <c r="C152" s="152" t="str">
        <f xml:space="preserve"> IF(B152="","",setValueToTime(B152))</f>
        <v>0h30min</v>
      </c>
      <c r="D152" s="165" t="s">
        <v>125</v>
      </c>
      <c r="E152" s="237"/>
      <c r="F152" s="238"/>
      <c r="G152" s="51"/>
    </row>
    <row r="153" spans="1:7" s="52" customFormat="1" ht="27" x14ac:dyDescent="0.3">
      <c r="A153" s="53" t="s">
        <v>111</v>
      </c>
      <c r="B153" s="54">
        <v>4</v>
      </c>
      <c r="C153" s="153" t="str">
        <f t="shared" ref="C153:C155" si="21" xml:space="preserve"> IF(B153="","",setValueToTime(B153))</f>
        <v>0h20min</v>
      </c>
      <c r="D153" s="166" t="s">
        <v>158</v>
      </c>
      <c r="E153" s="243"/>
      <c r="F153" s="244"/>
      <c r="G153" s="51"/>
    </row>
    <row r="154" spans="1:7" s="52" customFormat="1" ht="27" x14ac:dyDescent="0.3">
      <c r="A154" s="53" t="s">
        <v>100</v>
      </c>
      <c r="B154" s="54">
        <v>27</v>
      </c>
      <c r="C154" s="153" t="str">
        <f t="shared" si="21"/>
        <v>2h15min</v>
      </c>
      <c r="D154" s="166" t="s">
        <v>126</v>
      </c>
      <c r="E154" s="243"/>
      <c r="F154" s="244"/>
      <c r="G154" s="51"/>
    </row>
    <row r="155" spans="1:7" s="52" customFormat="1" ht="15" thickBot="1" x14ac:dyDescent="0.35">
      <c r="A155" s="53" t="s">
        <v>93</v>
      </c>
      <c r="B155" s="54">
        <v>1</v>
      </c>
      <c r="C155" s="155" t="str">
        <f t="shared" si="21"/>
        <v>0h5min</v>
      </c>
      <c r="D155" s="166" t="s">
        <v>118</v>
      </c>
      <c r="E155" s="241"/>
      <c r="F155" s="242"/>
      <c r="G155" s="51"/>
    </row>
    <row r="156" spans="1:7" s="52" customFormat="1" ht="15" thickBot="1" x14ac:dyDescent="0.35">
      <c r="A156" s="111" t="s">
        <v>28</v>
      </c>
      <c r="B156" s="84">
        <f>SUM(B152:B155)</f>
        <v>38</v>
      </c>
      <c r="C156" s="111" t="str">
        <f xml:space="preserve"> setValueToTime(B156)</f>
        <v>3h10min</v>
      </c>
      <c r="D156" s="120"/>
      <c r="E156" s="239"/>
      <c r="F156" s="240"/>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5" t="s">
        <v>15</v>
      </c>
      <c r="F159" s="236"/>
      <c r="G159" s="46"/>
    </row>
    <row r="160" spans="1:7" s="52" customFormat="1" x14ac:dyDescent="0.3">
      <c r="A160" s="48" t="s">
        <v>97</v>
      </c>
      <c r="B160" s="49">
        <v>47</v>
      </c>
      <c r="C160" s="152" t="str">
        <f xml:space="preserve"> IF(B160="","",setValueToTime(B160))</f>
        <v>3h55min</v>
      </c>
      <c r="D160" s="165" t="s">
        <v>120</v>
      </c>
      <c r="E160" s="237"/>
      <c r="F160" s="238"/>
      <c r="G160" s="51"/>
    </row>
    <row r="161" spans="1:7" s="52" customFormat="1" ht="15" thickBot="1" x14ac:dyDescent="0.35">
      <c r="A161" s="53" t="s">
        <v>93</v>
      </c>
      <c r="B161" s="54">
        <v>1</v>
      </c>
      <c r="C161" s="153" t="str">
        <f t="shared" ref="C161" si="22" xml:space="preserve"> IF(B161="","",setValueToTime(B161))</f>
        <v>0h5min</v>
      </c>
      <c r="D161" s="166" t="s">
        <v>118</v>
      </c>
      <c r="E161" s="243"/>
      <c r="F161" s="244"/>
      <c r="G161" s="51"/>
    </row>
    <row r="162" spans="1:7" s="52" customFormat="1" ht="15" thickBot="1" x14ac:dyDescent="0.35">
      <c r="A162" s="111" t="s">
        <v>28</v>
      </c>
      <c r="B162" s="84">
        <f>SUM(B160:B161)</f>
        <v>48</v>
      </c>
      <c r="C162" s="111" t="str">
        <f xml:space="preserve"> setValueToTime(B162)</f>
        <v>4h</v>
      </c>
      <c r="D162" s="120"/>
      <c r="E162" s="239"/>
      <c r="F162" s="240"/>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5" t="s">
        <v>15</v>
      </c>
      <c r="F165" s="236"/>
      <c r="G165" s="46"/>
    </row>
    <row r="166" spans="1:7" s="52" customFormat="1" x14ac:dyDescent="0.3">
      <c r="A166" s="48" t="s">
        <v>97</v>
      </c>
      <c r="B166" s="49">
        <v>37</v>
      </c>
      <c r="C166" s="152" t="str">
        <f xml:space="preserve"> IF(B166="","",setValueToTime(B166))</f>
        <v>3h5min</v>
      </c>
      <c r="D166" s="165" t="s">
        <v>124</v>
      </c>
      <c r="E166" s="237"/>
      <c r="F166" s="238"/>
      <c r="G166" s="51"/>
    </row>
    <row r="167" spans="1:7" s="52" customFormat="1" ht="15" thickBot="1" x14ac:dyDescent="0.35">
      <c r="A167" s="53" t="s">
        <v>93</v>
      </c>
      <c r="B167" s="54">
        <v>1</v>
      </c>
      <c r="C167" s="153" t="str">
        <f t="shared" ref="C167" si="23" xml:space="preserve"> IF(B167="","",setValueToTime(B167))</f>
        <v>0h5min</v>
      </c>
      <c r="D167" s="166" t="s">
        <v>118</v>
      </c>
      <c r="E167" s="243"/>
      <c r="F167" s="244"/>
      <c r="G167" s="51"/>
    </row>
    <row r="168" spans="1:7" s="52" customFormat="1" ht="15" thickBot="1" x14ac:dyDescent="0.35">
      <c r="A168" s="111" t="s">
        <v>28</v>
      </c>
      <c r="B168" s="84">
        <f>SUM(B166:B167)</f>
        <v>38</v>
      </c>
      <c r="C168" s="111" t="str">
        <f xml:space="preserve"> setValueToTime(B168)</f>
        <v>3h10min</v>
      </c>
      <c r="D168" s="120"/>
      <c r="E168" s="239"/>
      <c r="F168" s="240"/>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168:F168"/>
    <mergeCell ref="E159:F159"/>
    <mergeCell ref="E160:F160"/>
    <mergeCell ref="E161:F161"/>
    <mergeCell ref="E165:F165"/>
    <mergeCell ref="E166:F166"/>
    <mergeCell ref="E167:F167"/>
    <mergeCell ref="E162:F162"/>
    <mergeCell ref="E156:F156"/>
    <mergeCell ref="E145:F145"/>
    <mergeCell ref="E146:F146"/>
    <mergeCell ref="E147:F147"/>
    <mergeCell ref="E148:F148"/>
    <mergeCell ref="E151:F151"/>
    <mergeCell ref="E152:F152"/>
    <mergeCell ref="E153:F153"/>
    <mergeCell ref="E154:F154"/>
    <mergeCell ref="E155:F155"/>
    <mergeCell ref="E142:F142"/>
    <mergeCell ref="E133:F133"/>
    <mergeCell ref="E134:F134"/>
    <mergeCell ref="E135:F135"/>
    <mergeCell ref="E136:F136"/>
    <mergeCell ref="E139:F139"/>
    <mergeCell ref="E140:F140"/>
    <mergeCell ref="E141:F141"/>
    <mergeCell ref="E130:F130"/>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08:F108"/>
    <mergeCell ref="E97:F97"/>
    <mergeCell ref="E98:F98"/>
    <mergeCell ref="E99:F99"/>
    <mergeCell ref="E100:F100"/>
    <mergeCell ref="E101:F101"/>
    <mergeCell ref="E102:F102"/>
    <mergeCell ref="E105:F105"/>
    <mergeCell ref="E106:F106"/>
    <mergeCell ref="E107:F107"/>
    <mergeCell ref="E94:F94"/>
    <mergeCell ref="E84:F84"/>
    <mergeCell ref="E85:F85"/>
    <mergeCell ref="E86:F86"/>
    <mergeCell ref="E87:F87"/>
    <mergeCell ref="E88:F88"/>
    <mergeCell ref="E91:F91"/>
    <mergeCell ref="E92:F92"/>
    <mergeCell ref="E93:F93"/>
    <mergeCell ref="E81:F81"/>
    <mergeCell ref="E77:F77"/>
    <mergeCell ref="E78:F78"/>
    <mergeCell ref="E79:F79"/>
    <mergeCell ref="E80:F80"/>
    <mergeCell ref="E70:F70"/>
    <mergeCell ref="E71:F71"/>
    <mergeCell ref="E72:F72"/>
    <mergeCell ref="E73:F73"/>
    <mergeCell ref="E74:F74"/>
    <mergeCell ref="E67:F67"/>
    <mergeCell ref="E57:F57"/>
    <mergeCell ref="E58:F58"/>
    <mergeCell ref="E59:F59"/>
    <mergeCell ref="E60:F60"/>
    <mergeCell ref="E63:F63"/>
    <mergeCell ref="E64:F64"/>
    <mergeCell ref="E65:F65"/>
    <mergeCell ref="E66:F66"/>
    <mergeCell ref="E54:F54"/>
    <mergeCell ref="E45:F45"/>
    <mergeCell ref="E46:F46"/>
    <mergeCell ref="E47:F47"/>
    <mergeCell ref="E48:F48"/>
    <mergeCell ref="E51:F51"/>
    <mergeCell ref="E52:F52"/>
    <mergeCell ref="E53:F53"/>
    <mergeCell ref="E42:F42"/>
    <mergeCell ref="E32:F32"/>
    <mergeCell ref="E33:F33"/>
    <mergeCell ref="E34:F34"/>
    <mergeCell ref="E35:F35"/>
    <mergeCell ref="E38:F38"/>
    <mergeCell ref="E39:F39"/>
    <mergeCell ref="E40:F40"/>
    <mergeCell ref="E41:F41"/>
    <mergeCell ref="E22:F22"/>
    <mergeCell ref="E26:F26"/>
    <mergeCell ref="E27:F27"/>
    <mergeCell ref="E28:F28"/>
    <mergeCell ref="E29:F29"/>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s>
  <phoneticPr fontId="0" type="noConversion"/>
  <conditionalFormatting sqref="B168">
    <cfRule type="cellIs" dxfId="44" priority="33" operator="greaterThan">
      <formula>60</formula>
    </cfRule>
  </conditionalFormatting>
  <conditionalFormatting sqref="B162">
    <cfRule type="cellIs" dxfId="43" priority="32" operator="greaterThan">
      <formula>60</formula>
    </cfRule>
  </conditionalFormatting>
  <conditionalFormatting sqref="B156">
    <cfRule type="cellIs" dxfId="42" priority="31" operator="greaterThan">
      <formula>60</formula>
    </cfRule>
  </conditionalFormatting>
  <conditionalFormatting sqref="B148">
    <cfRule type="cellIs" dxfId="41" priority="30" operator="greaterThan">
      <formula>60</formula>
    </cfRule>
  </conditionalFormatting>
  <conditionalFormatting sqref="B142">
    <cfRule type="cellIs" dxfId="40" priority="29" operator="greaterThan">
      <formula>60</formula>
    </cfRule>
  </conditionalFormatting>
  <conditionalFormatting sqref="B136">
    <cfRule type="cellIs" dxfId="39" priority="28" operator="greaterThan">
      <formula>60</formula>
    </cfRule>
  </conditionalFormatting>
  <conditionalFormatting sqref="B130">
    <cfRule type="cellIs" dxfId="38" priority="27" operator="greaterThan">
      <formula>60</formula>
    </cfRule>
  </conditionalFormatting>
  <conditionalFormatting sqref="B124">
    <cfRule type="cellIs" dxfId="37" priority="26" operator="greaterThan">
      <formula>60</formula>
    </cfRule>
  </conditionalFormatting>
  <conditionalFormatting sqref="B118">
    <cfRule type="cellIs" dxfId="36" priority="25" operator="greaterThan">
      <formula>60</formula>
    </cfRule>
  </conditionalFormatting>
  <conditionalFormatting sqref="B113">
    <cfRule type="cellIs" dxfId="35" priority="24" operator="greaterThan">
      <formula>60</formula>
    </cfRule>
  </conditionalFormatting>
  <conditionalFormatting sqref="B108">
    <cfRule type="cellIs" dxfId="34" priority="23" operator="greaterThan">
      <formula>60</formula>
    </cfRule>
  </conditionalFormatting>
  <conditionalFormatting sqref="B102">
    <cfRule type="cellIs" dxfId="33" priority="22" operator="greaterThan">
      <formula>60</formula>
    </cfRule>
  </conditionalFormatting>
  <conditionalFormatting sqref="B94">
    <cfRule type="cellIs" dxfId="32" priority="21" operator="greaterThan">
      <formula>60</formula>
    </cfRule>
  </conditionalFormatting>
  <conditionalFormatting sqref="B88">
    <cfRule type="cellIs" dxfId="31" priority="20" operator="greaterThan">
      <formula>60</formula>
    </cfRule>
  </conditionalFormatting>
  <conditionalFormatting sqref="B81">
    <cfRule type="cellIs" dxfId="30" priority="19" operator="greaterThan">
      <formula>60</formula>
    </cfRule>
  </conditionalFormatting>
  <conditionalFormatting sqref="B74">
    <cfRule type="cellIs" dxfId="29" priority="14" operator="greaterThan">
      <formula>60</formula>
    </cfRule>
  </conditionalFormatting>
  <conditionalFormatting sqref="B67">
    <cfRule type="cellIs" dxfId="28" priority="13" operator="greaterThan">
      <formula>60</formula>
    </cfRule>
  </conditionalFormatting>
  <conditionalFormatting sqref="B60">
    <cfRule type="cellIs" dxfId="27" priority="12" operator="greaterThan">
      <formula>60</formula>
    </cfRule>
  </conditionalFormatting>
  <conditionalFormatting sqref="B54">
    <cfRule type="cellIs" dxfId="26" priority="11" operator="greaterThan">
      <formula>60</formula>
    </cfRule>
  </conditionalFormatting>
  <conditionalFormatting sqref="B48">
    <cfRule type="cellIs" dxfId="25" priority="10" operator="greaterThan">
      <formula>60</formula>
    </cfRule>
  </conditionalFormatting>
  <conditionalFormatting sqref="B42">
    <cfRule type="cellIs" dxfId="24" priority="9" operator="greaterThan">
      <formula>60</formula>
    </cfRule>
  </conditionalFormatting>
  <conditionalFormatting sqref="B35">
    <cfRule type="cellIs" dxfId="23" priority="8" operator="greaterThan">
      <formula>60</formula>
    </cfRule>
  </conditionalFormatting>
  <conditionalFormatting sqref="B29">
    <cfRule type="cellIs" dxfId="22" priority="6" operator="greaterThan">
      <formula>60</formula>
    </cfRule>
  </conditionalFormatting>
  <conditionalFormatting sqref="B23">
    <cfRule type="cellIs" dxfId="21" priority="5" operator="greaterThan">
      <formula>60</formula>
    </cfRule>
  </conditionalFormatting>
  <conditionalFormatting sqref="B17">
    <cfRule type="cellIs" dxfId="20" priority="4" operator="greaterThan">
      <formula>60</formula>
    </cfRule>
  </conditionalFormatting>
  <conditionalFormatting sqref="B11">
    <cfRule type="cellIs" dxfId="19" priority="3" operator="greaterThan">
      <formula>60</formula>
    </cfRule>
  </conditionalFormatting>
  <conditionalFormatting sqref="B5">
    <cfRule type="cellIs" dxfId="18" priority="2"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93"/>
  <sheetViews>
    <sheetView showGridLines="0" tabSelected="1" zoomScaleNormal="100" zoomScaleSheetLayoutView="98" workbookViewId="0">
      <pane ySplit="1" topLeftCell="A11" activePane="bottomLeft" state="frozen"/>
      <selection pane="bottomLeft" activeCell="D23" sqref="D23"/>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16</v>
      </c>
      <c r="C2" s="164"/>
      <c r="D2" s="157" t="s">
        <v>16</v>
      </c>
      <c r="E2" s="158" t="s">
        <v>61</v>
      </c>
      <c r="F2" s="159" t="s">
        <v>45</v>
      </c>
      <c r="G2" s="46"/>
    </row>
    <row r="3" spans="1:7" s="47" customFormat="1" ht="30" customHeight="1" thickBot="1" x14ac:dyDescent="0.3">
      <c r="A3" s="78" t="s">
        <v>5</v>
      </c>
      <c r="B3" s="161" t="s">
        <v>39</v>
      </c>
      <c r="C3" s="160"/>
      <c r="D3" s="78" t="s">
        <v>14</v>
      </c>
      <c r="E3" s="248" t="s">
        <v>15</v>
      </c>
      <c r="F3" s="249"/>
      <c r="G3" s="46"/>
    </row>
    <row r="4" spans="1:7" s="52" customFormat="1" x14ac:dyDescent="0.3">
      <c r="A4" s="48"/>
      <c r="B4" s="49"/>
      <c r="C4" s="152" t="str">
        <f xml:space="preserve"> IF(B4="","",setValueToTime(B4))</f>
        <v/>
      </c>
      <c r="D4" s="50"/>
      <c r="E4" s="237"/>
      <c r="F4" s="238"/>
      <c r="G4" s="51"/>
    </row>
    <row r="5" spans="1:7" s="52" customFormat="1" x14ac:dyDescent="0.3">
      <c r="A5" s="53"/>
      <c r="B5" s="54"/>
      <c r="C5" s="153" t="str">
        <f t="shared" ref="C5:C11" si="0" xml:space="preserve"> IF(B5="","",setValueToTime(B5))</f>
        <v/>
      </c>
      <c r="D5" s="55"/>
      <c r="E5" s="243"/>
      <c r="F5" s="244"/>
      <c r="G5" s="51"/>
    </row>
    <row r="6" spans="1:7" s="52" customFormat="1" x14ac:dyDescent="0.3">
      <c r="A6" s="53"/>
      <c r="B6" s="54"/>
      <c r="C6" s="153" t="str">
        <f t="shared" si="0"/>
        <v/>
      </c>
      <c r="D6" s="55"/>
      <c r="E6" s="243"/>
      <c r="F6" s="244"/>
      <c r="G6" s="51"/>
    </row>
    <row r="7" spans="1:7" s="52" customFormat="1" x14ac:dyDescent="0.3">
      <c r="A7" s="53"/>
      <c r="B7" s="54"/>
      <c r="C7" s="153"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x14ac:dyDescent="0.3">
      <c r="A10" s="54"/>
      <c r="B10" s="54"/>
      <c r="C10" s="154" t="str">
        <f t="shared" si="0"/>
        <v/>
      </c>
      <c r="D10" s="55"/>
      <c r="E10" s="243"/>
      <c r="F10" s="244"/>
      <c r="G10" s="51"/>
    </row>
    <row r="11" spans="1:7" s="52" customFormat="1" ht="15" thickBot="1" x14ac:dyDescent="0.35">
      <c r="A11" s="56"/>
      <c r="B11" s="56"/>
      <c r="C11" s="155" t="str">
        <f t="shared" si="0"/>
        <v/>
      </c>
      <c r="D11" s="57"/>
      <c r="E11" s="241"/>
      <c r="F11" s="242"/>
      <c r="G11" s="51"/>
    </row>
    <row r="12" spans="1:7" s="52" customFormat="1" ht="15" thickBot="1" x14ac:dyDescent="0.35">
      <c r="A12" s="162" t="s">
        <v>28</v>
      </c>
      <c r="B12" s="83">
        <f>SUM(B4:B11)</f>
        <v>0</v>
      </c>
      <c r="C12" s="162" t="str">
        <f xml:space="preserve"> setValueToTime(B12)</f>
        <v>0h</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13</v>
      </c>
      <c r="B14" s="164">
        <v>15</v>
      </c>
      <c r="C14" s="164"/>
      <c r="D14" s="157" t="s">
        <v>16</v>
      </c>
      <c r="E14" s="158" t="s">
        <v>67</v>
      </c>
      <c r="F14" s="159" t="s">
        <v>44</v>
      </c>
      <c r="G14" s="46"/>
    </row>
    <row r="15" spans="1:7" s="47" customFormat="1" ht="30" customHeight="1" thickBot="1" x14ac:dyDescent="0.3">
      <c r="A15" s="78" t="s">
        <v>5</v>
      </c>
      <c r="B15" s="161" t="s">
        <v>39</v>
      </c>
      <c r="C15" s="160"/>
      <c r="D15" s="78" t="s">
        <v>14</v>
      </c>
      <c r="E15" s="248" t="s">
        <v>15</v>
      </c>
      <c r="F15" s="249"/>
      <c r="G15" s="46"/>
    </row>
    <row r="16" spans="1:7" s="52" customFormat="1" ht="27" x14ac:dyDescent="0.3">
      <c r="A16" s="48" t="s">
        <v>95</v>
      </c>
      <c r="B16" s="49">
        <v>15</v>
      </c>
      <c r="C16" s="152" t="str">
        <f xml:space="preserve"> IF(B16="","",setValueToTime(B16))</f>
        <v>1h15min</v>
      </c>
      <c r="D16" s="165" t="s">
        <v>205</v>
      </c>
      <c r="E16" s="237"/>
      <c r="F16" s="238"/>
      <c r="G16" s="51"/>
    </row>
    <row r="17" spans="1:7" s="52" customFormat="1" ht="54" x14ac:dyDescent="0.3">
      <c r="A17" s="53" t="s">
        <v>112</v>
      </c>
      <c r="B17" s="54">
        <v>23</v>
      </c>
      <c r="C17" s="153" t="str">
        <f t="shared" ref="C17:C23" si="1" xml:space="preserve"> IF(B17="","",setValueToTime(B17))</f>
        <v>1h55min</v>
      </c>
      <c r="D17" s="166" t="s">
        <v>206</v>
      </c>
      <c r="E17" s="243"/>
      <c r="F17" s="244"/>
      <c r="G17" s="51"/>
    </row>
    <row r="18" spans="1:7" s="52" customFormat="1" x14ac:dyDescent="0.3">
      <c r="A18" s="53"/>
      <c r="B18" s="54"/>
      <c r="C18" s="153" t="str">
        <f t="shared" si="1"/>
        <v/>
      </c>
      <c r="D18" s="55"/>
      <c r="E18" s="243"/>
      <c r="F18" s="244"/>
      <c r="G18" s="51"/>
    </row>
    <row r="19" spans="1:7" s="52" customFormat="1" x14ac:dyDescent="0.3">
      <c r="A19" s="53"/>
      <c r="B19" s="54"/>
      <c r="C19" s="153" t="str">
        <f t="shared" si="1"/>
        <v/>
      </c>
      <c r="D19" s="55"/>
      <c r="E19" s="243"/>
      <c r="F19" s="244"/>
      <c r="G19" s="51"/>
    </row>
    <row r="20" spans="1:7" s="52" customFormat="1" x14ac:dyDescent="0.3">
      <c r="A20" s="54"/>
      <c r="B20" s="54"/>
      <c r="C20" s="154" t="str">
        <f t="shared" si="1"/>
        <v/>
      </c>
      <c r="D20" s="55"/>
      <c r="E20" s="243"/>
      <c r="F20" s="244"/>
      <c r="G20" s="51"/>
    </row>
    <row r="21" spans="1:7" s="52" customFormat="1" x14ac:dyDescent="0.3">
      <c r="A21" s="54"/>
      <c r="B21" s="54"/>
      <c r="C21" s="154" t="str">
        <f t="shared" si="1"/>
        <v/>
      </c>
      <c r="D21" s="55"/>
      <c r="E21" s="243"/>
      <c r="F21" s="244"/>
      <c r="G21" s="51"/>
    </row>
    <row r="22" spans="1:7" s="52" customFormat="1" x14ac:dyDescent="0.3">
      <c r="A22" s="54"/>
      <c r="B22" s="54"/>
      <c r="C22" s="154" t="str">
        <f t="shared" si="1"/>
        <v/>
      </c>
      <c r="D22" s="55"/>
      <c r="E22" s="243"/>
      <c r="F22" s="244"/>
      <c r="G22" s="51"/>
    </row>
    <row r="23" spans="1:7" s="52" customFormat="1" ht="15" thickBot="1" x14ac:dyDescent="0.35">
      <c r="A23" s="56"/>
      <c r="B23" s="56"/>
      <c r="C23" s="155" t="str">
        <f t="shared" si="1"/>
        <v/>
      </c>
      <c r="D23" s="57"/>
      <c r="E23" s="241"/>
      <c r="F23" s="242"/>
      <c r="G23" s="51"/>
    </row>
    <row r="24" spans="1:7" s="52" customFormat="1" ht="15" thickBot="1" x14ac:dyDescent="0.35">
      <c r="A24" s="162" t="s">
        <v>28</v>
      </c>
      <c r="B24" s="83">
        <f>SUM(B16:B23)</f>
        <v>38</v>
      </c>
      <c r="C24" s="162" t="str">
        <f xml:space="preserve"> setValueToTime(B24)</f>
        <v>3h10min</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13</v>
      </c>
      <c r="B26" s="164">
        <v>14</v>
      </c>
      <c r="C26" s="164"/>
      <c r="D26" s="157" t="s">
        <v>16</v>
      </c>
      <c r="E26" s="158" t="s">
        <v>67</v>
      </c>
      <c r="F26" s="159" t="s">
        <v>45</v>
      </c>
      <c r="G26" s="46"/>
    </row>
    <row r="27" spans="1:7" s="47" customFormat="1" ht="30" customHeight="1" thickBot="1" x14ac:dyDescent="0.3">
      <c r="A27" s="78" t="s">
        <v>5</v>
      </c>
      <c r="B27" s="161" t="s">
        <v>39</v>
      </c>
      <c r="C27" s="160"/>
      <c r="D27" s="78" t="s">
        <v>14</v>
      </c>
      <c r="E27" s="248" t="s">
        <v>15</v>
      </c>
      <c r="F27" s="249"/>
      <c r="G27" s="46"/>
    </row>
    <row r="28" spans="1:7" s="52" customFormat="1" ht="40.5" x14ac:dyDescent="0.3">
      <c r="A28" s="48" t="s">
        <v>96</v>
      </c>
      <c r="B28" s="49">
        <v>35</v>
      </c>
      <c r="C28" s="152" t="str">
        <f xml:space="preserve"> IF(B28="","",setValueToTime(B28))</f>
        <v>2h55min</v>
      </c>
      <c r="D28" s="165" t="s">
        <v>203</v>
      </c>
      <c r="E28" s="237"/>
      <c r="F28" s="238"/>
      <c r="G28" s="51"/>
    </row>
    <row r="29" spans="1:7" s="52" customFormat="1" ht="54" x14ac:dyDescent="0.3">
      <c r="A29" s="53" t="s">
        <v>112</v>
      </c>
      <c r="B29" s="54">
        <v>13</v>
      </c>
      <c r="C29" s="153" t="str">
        <f t="shared" ref="C29:C35" si="2" xml:space="preserve"> IF(B29="","",setValueToTime(B29))</f>
        <v>1h5min</v>
      </c>
      <c r="D29" s="166" t="s">
        <v>204</v>
      </c>
      <c r="E29" s="243"/>
      <c r="F29" s="244"/>
      <c r="G29" s="51"/>
    </row>
    <row r="30" spans="1:7" s="52" customFormat="1" x14ac:dyDescent="0.3">
      <c r="A30" s="53"/>
      <c r="B30" s="54"/>
      <c r="C30" s="153" t="str">
        <f t="shared" si="2"/>
        <v/>
      </c>
      <c r="D30" s="55"/>
      <c r="E30" s="243"/>
      <c r="F30" s="244"/>
      <c r="G30" s="51"/>
    </row>
    <row r="31" spans="1:7" s="52" customFormat="1" x14ac:dyDescent="0.3">
      <c r="A31" s="53"/>
      <c r="B31" s="54"/>
      <c r="C31" s="153" t="str">
        <f t="shared" si="2"/>
        <v/>
      </c>
      <c r="D31" s="55"/>
      <c r="E31" s="243"/>
      <c r="F31" s="244"/>
      <c r="G31" s="51"/>
    </row>
    <row r="32" spans="1:7" s="52" customFormat="1" x14ac:dyDescent="0.3">
      <c r="A32" s="54"/>
      <c r="B32" s="54"/>
      <c r="C32" s="154" t="str">
        <f t="shared" si="2"/>
        <v/>
      </c>
      <c r="D32" s="55"/>
      <c r="E32" s="243"/>
      <c r="F32" s="244"/>
      <c r="G32" s="51"/>
    </row>
    <row r="33" spans="1:7" s="52" customFormat="1" x14ac:dyDescent="0.3">
      <c r="A33" s="54"/>
      <c r="B33" s="54"/>
      <c r="C33" s="154" t="str">
        <f t="shared" si="2"/>
        <v/>
      </c>
      <c r="D33" s="55"/>
      <c r="E33" s="243"/>
      <c r="F33" s="244"/>
      <c r="G33" s="51"/>
    </row>
    <row r="34" spans="1:7" s="52" customFormat="1" x14ac:dyDescent="0.3">
      <c r="A34" s="54"/>
      <c r="B34" s="54"/>
      <c r="C34" s="154" t="str">
        <f t="shared" si="2"/>
        <v/>
      </c>
      <c r="D34" s="55"/>
      <c r="E34" s="243"/>
      <c r="F34" s="244"/>
      <c r="G34" s="51"/>
    </row>
    <row r="35" spans="1:7" s="52" customFormat="1" ht="15" thickBot="1" x14ac:dyDescent="0.35">
      <c r="A35" s="56"/>
      <c r="B35" s="56"/>
      <c r="C35" s="155" t="str">
        <f t="shared" si="2"/>
        <v/>
      </c>
      <c r="D35" s="57"/>
      <c r="E35" s="241"/>
      <c r="F35" s="242"/>
      <c r="G35" s="51"/>
    </row>
    <row r="36" spans="1:7" s="52" customFormat="1" ht="15" thickBot="1" x14ac:dyDescent="0.35">
      <c r="A36" s="162" t="s">
        <v>28</v>
      </c>
      <c r="B36" s="83">
        <f>SUM(B28:B35)</f>
        <v>48</v>
      </c>
      <c r="C36" s="162" t="str">
        <f xml:space="preserve"> setValueToTime(B36)</f>
        <v>4h</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13</v>
      </c>
      <c r="B38" s="164">
        <v>13</v>
      </c>
      <c r="C38" s="164"/>
      <c r="D38" s="157" t="s">
        <v>16</v>
      </c>
      <c r="E38" s="158" t="s">
        <v>70</v>
      </c>
      <c r="F38" s="159" t="s">
        <v>45</v>
      </c>
      <c r="G38" s="46"/>
    </row>
    <row r="39" spans="1:7" s="47" customFormat="1" ht="30" customHeight="1" thickBot="1" x14ac:dyDescent="0.3">
      <c r="A39" s="78" t="s">
        <v>5</v>
      </c>
      <c r="B39" s="161" t="s">
        <v>39</v>
      </c>
      <c r="C39" s="160"/>
      <c r="D39" s="78" t="s">
        <v>14</v>
      </c>
      <c r="E39" s="248" t="s">
        <v>15</v>
      </c>
      <c r="F39" s="249"/>
      <c r="G39" s="46"/>
    </row>
    <row r="40" spans="1:7" s="52" customFormat="1" ht="40.5" x14ac:dyDescent="0.3">
      <c r="A40" s="48" t="s">
        <v>104</v>
      </c>
      <c r="B40" s="49">
        <v>6</v>
      </c>
      <c r="C40" s="152" t="str">
        <f xml:space="preserve"> IF(B40="","",setValueToTime(B40))</f>
        <v>0h30min</v>
      </c>
      <c r="D40" s="165" t="s">
        <v>200</v>
      </c>
      <c r="E40" s="237"/>
      <c r="F40" s="238"/>
      <c r="G40" s="51"/>
    </row>
    <row r="41" spans="1:7" s="52" customFormat="1" ht="40.5" x14ac:dyDescent="0.3">
      <c r="A41" s="53" t="s">
        <v>96</v>
      </c>
      <c r="B41" s="54">
        <v>10</v>
      </c>
      <c r="C41" s="153" t="str">
        <f t="shared" ref="C41:C47" si="3" xml:space="preserve"> IF(B41="","",setValueToTime(B41))</f>
        <v>0h50min</v>
      </c>
      <c r="D41" s="166" t="s">
        <v>201</v>
      </c>
      <c r="E41" s="243"/>
      <c r="F41" s="244"/>
      <c r="G41" s="51"/>
    </row>
    <row r="42" spans="1:7" s="52" customFormat="1" ht="40.5" x14ac:dyDescent="0.3">
      <c r="A42" s="53" t="s">
        <v>96</v>
      </c>
      <c r="B42" s="54">
        <v>20</v>
      </c>
      <c r="C42" s="153" t="str">
        <f t="shared" si="3"/>
        <v>1h40min</v>
      </c>
      <c r="D42" s="166" t="s">
        <v>202</v>
      </c>
      <c r="E42" s="243"/>
      <c r="F42" s="244"/>
      <c r="G42" s="51"/>
    </row>
    <row r="43" spans="1:7" s="52" customFormat="1" ht="27" x14ac:dyDescent="0.3">
      <c r="A43" s="53" t="s">
        <v>93</v>
      </c>
      <c r="B43" s="54">
        <v>2</v>
      </c>
      <c r="C43" s="153" t="str">
        <f t="shared" si="3"/>
        <v>0h10min</v>
      </c>
      <c r="D43" s="166" t="s">
        <v>91</v>
      </c>
      <c r="E43" s="243"/>
      <c r="F43" s="244"/>
      <c r="G43" s="51"/>
    </row>
    <row r="44" spans="1:7" s="52" customFormat="1" x14ac:dyDescent="0.3">
      <c r="A44" s="54"/>
      <c r="B44" s="54"/>
      <c r="C44" s="154" t="str">
        <f t="shared" si="3"/>
        <v/>
      </c>
      <c r="D44" s="55"/>
      <c r="E44" s="243"/>
      <c r="F44" s="244"/>
      <c r="G44" s="51"/>
    </row>
    <row r="45" spans="1:7" s="52" customFormat="1" x14ac:dyDescent="0.3">
      <c r="A45" s="54"/>
      <c r="B45" s="54"/>
      <c r="C45" s="154" t="str">
        <f t="shared" si="3"/>
        <v/>
      </c>
      <c r="D45" s="55"/>
      <c r="E45" s="243"/>
      <c r="F45" s="244"/>
      <c r="G45" s="51"/>
    </row>
    <row r="46" spans="1:7" s="52" customFormat="1" x14ac:dyDescent="0.3">
      <c r="A46" s="54"/>
      <c r="B46" s="54"/>
      <c r="C46" s="154" t="str">
        <f t="shared" si="3"/>
        <v/>
      </c>
      <c r="D46" s="55"/>
      <c r="E46" s="243"/>
      <c r="F46" s="244"/>
      <c r="G46" s="51"/>
    </row>
    <row r="47" spans="1:7" s="52" customFormat="1" ht="15" thickBot="1" x14ac:dyDescent="0.35">
      <c r="A47" s="56"/>
      <c r="B47" s="56"/>
      <c r="C47" s="155" t="str">
        <f t="shared" si="3"/>
        <v/>
      </c>
      <c r="D47" s="57"/>
      <c r="E47" s="241"/>
      <c r="F47" s="242"/>
      <c r="G47" s="51"/>
    </row>
    <row r="48" spans="1:7" s="52" customFormat="1" ht="15" thickBot="1" x14ac:dyDescent="0.35">
      <c r="A48" s="162" t="s">
        <v>28</v>
      </c>
      <c r="B48" s="83">
        <f>SUM(B40:B47)</f>
        <v>38</v>
      </c>
      <c r="C48" s="162" t="str">
        <f xml:space="preserve"> setValueToTime(B48)</f>
        <v>3h10min</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13</v>
      </c>
      <c r="B50" s="164">
        <v>12</v>
      </c>
      <c r="C50" s="164"/>
      <c r="D50" s="157" t="s">
        <v>16</v>
      </c>
      <c r="E50" s="158" t="s">
        <v>72</v>
      </c>
      <c r="F50" s="159" t="s">
        <v>44</v>
      </c>
      <c r="G50" s="46"/>
    </row>
    <row r="51" spans="1:7" s="47" customFormat="1" ht="30" customHeight="1" thickBot="1" x14ac:dyDescent="0.3">
      <c r="A51" s="78" t="s">
        <v>5</v>
      </c>
      <c r="B51" s="161" t="s">
        <v>39</v>
      </c>
      <c r="C51" s="160"/>
      <c r="D51" s="78" t="s">
        <v>14</v>
      </c>
      <c r="E51" s="248" t="s">
        <v>15</v>
      </c>
      <c r="F51" s="249"/>
      <c r="G51" s="46"/>
    </row>
    <row r="52" spans="1:7" s="52" customFormat="1" ht="40.5" x14ac:dyDescent="0.3">
      <c r="A52" s="48" t="s">
        <v>105</v>
      </c>
      <c r="B52" s="49">
        <v>16</v>
      </c>
      <c r="C52" s="152" t="str">
        <f xml:space="preserve"> IF(B52="","",setValueToTime(B52))</f>
        <v>1h20min</v>
      </c>
      <c r="D52" s="165" t="s">
        <v>197</v>
      </c>
      <c r="E52" s="237"/>
      <c r="F52" s="238"/>
      <c r="G52" s="51"/>
    </row>
    <row r="53" spans="1:7" s="52" customFormat="1" ht="40.5" x14ac:dyDescent="0.3">
      <c r="A53" s="53" t="s">
        <v>104</v>
      </c>
      <c r="B53" s="54">
        <v>10</v>
      </c>
      <c r="C53" s="153" t="str">
        <f t="shared" ref="C53:C59" si="4" xml:space="preserve"> IF(B53="","",setValueToTime(B53))</f>
        <v>0h50min</v>
      </c>
      <c r="D53" s="166" t="s">
        <v>198</v>
      </c>
      <c r="E53" s="243"/>
      <c r="F53" s="244"/>
      <c r="G53" s="51"/>
    </row>
    <row r="54" spans="1:7" s="52" customFormat="1" ht="54" x14ac:dyDescent="0.3">
      <c r="A54" s="53" t="s">
        <v>113</v>
      </c>
      <c r="B54" s="54">
        <v>12</v>
      </c>
      <c r="C54" s="153" t="str">
        <f t="shared" si="4"/>
        <v>1h</v>
      </c>
      <c r="D54" s="166" t="s">
        <v>199</v>
      </c>
      <c r="E54" s="243"/>
      <c r="F54" s="244"/>
      <c r="G54" s="51"/>
    </row>
    <row r="55" spans="1:7" s="52" customFormat="1" x14ac:dyDescent="0.3">
      <c r="A55" s="53"/>
      <c r="B55" s="54"/>
      <c r="C55" s="153" t="str">
        <f t="shared" si="4"/>
        <v/>
      </c>
      <c r="D55" s="55"/>
      <c r="E55" s="243"/>
      <c r="F55" s="244"/>
      <c r="G55" s="51"/>
    </row>
    <row r="56" spans="1:7" s="52" customFormat="1" x14ac:dyDescent="0.3">
      <c r="A56" s="54"/>
      <c r="B56" s="54"/>
      <c r="C56" s="154" t="str">
        <f t="shared" si="4"/>
        <v/>
      </c>
      <c r="D56" s="55"/>
      <c r="E56" s="243"/>
      <c r="F56" s="244"/>
      <c r="G56" s="51"/>
    </row>
    <row r="57" spans="1:7" s="52" customFormat="1" x14ac:dyDescent="0.3">
      <c r="A57" s="54"/>
      <c r="B57" s="54"/>
      <c r="C57" s="154" t="str">
        <f t="shared" si="4"/>
        <v/>
      </c>
      <c r="D57" s="55"/>
      <c r="E57" s="243"/>
      <c r="F57" s="244"/>
      <c r="G57" s="51"/>
    </row>
    <row r="58" spans="1:7" s="52" customFormat="1" x14ac:dyDescent="0.3">
      <c r="A58" s="54"/>
      <c r="B58" s="54"/>
      <c r="C58" s="154" t="str">
        <f t="shared" si="4"/>
        <v/>
      </c>
      <c r="D58" s="55"/>
      <c r="E58" s="243"/>
      <c r="F58" s="244"/>
      <c r="G58" s="51"/>
    </row>
    <row r="59" spans="1:7" s="52" customFormat="1" ht="15" thickBot="1" x14ac:dyDescent="0.35">
      <c r="A59" s="56"/>
      <c r="B59" s="56"/>
      <c r="C59" s="155" t="str">
        <f t="shared" si="4"/>
        <v/>
      </c>
      <c r="D59" s="57"/>
      <c r="E59" s="241"/>
      <c r="F59" s="242"/>
      <c r="G59" s="51"/>
    </row>
    <row r="60" spans="1:7" s="52" customFormat="1" ht="15" thickBot="1" x14ac:dyDescent="0.35">
      <c r="A60" s="162" t="s">
        <v>28</v>
      </c>
      <c r="B60" s="83">
        <f>SUM(B52:B59)</f>
        <v>38</v>
      </c>
      <c r="C60" s="162" t="str">
        <f xml:space="preserve"> setValueToTime(B60)</f>
        <v>3h10min</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13</v>
      </c>
      <c r="B62" s="164">
        <v>11</v>
      </c>
      <c r="C62" s="164"/>
      <c r="D62" s="157" t="s">
        <v>16</v>
      </c>
      <c r="E62" s="158" t="s">
        <v>72</v>
      </c>
      <c r="F62" s="159" t="s">
        <v>45</v>
      </c>
      <c r="G62" s="46"/>
    </row>
    <row r="63" spans="1:7" s="47" customFormat="1" ht="30" customHeight="1" thickBot="1" x14ac:dyDescent="0.3">
      <c r="A63" s="78" t="s">
        <v>5</v>
      </c>
      <c r="B63" s="161" t="s">
        <v>39</v>
      </c>
      <c r="C63" s="160"/>
      <c r="D63" s="78" t="s">
        <v>14</v>
      </c>
      <c r="E63" s="248" t="s">
        <v>15</v>
      </c>
      <c r="F63" s="249"/>
      <c r="G63" s="46"/>
    </row>
    <row r="64" spans="1:7" s="52" customFormat="1" x14ac:dyDescent="0.3">
      <c r="A64" s="48" t="s">
        <v>4</v>
      </c>
      <c r="B64" s="49">
        <v>3</v>
      </c>
      <c r="C64" s="152" t="str">
        <f xml:space="preserve"> IF(B64="","",setValueToTime(B64))</f>
        <v>0h15min</v>
      </c>
      <c r="D64" s="165" t="s">
        <v>191</v>
      </c>
      <c r="E64" s="237"/>
      <c r="F64" s="238"/>
      <c r="G64" s="51"/>
    </row>
    <row r="65" spans="1:7" s="52" customFormat="1" ht="27" x14ac:dyDescent="0.3">
      <c r="A65" s="53" t="s">
        <v>110</v>
      </c>
      <c r="B65" s="54">
        <v>4</v>
      </c>
      <c r="C65" s="153" t="str">
        <f t="shared" ref="C65:C71" si="5" xml:space="preserve"> IF(B65="","",setValueToTime(B65))</f>
        <v>0h20min</v>
      </c>
      <c r="D65" s="166" t="s">
        <v>192</v>
      </c>
      <c r="E65" s="243"/>
      <c r="F65" s="244"/>
      <c r="G65" s="51"/>
    </row>
    <row r="66" spans="1:7" s="52" customFormat="1" ht="27" x14ac:dyDescent="0.3">
      <c r="A66" s="53" t="s">
        <v>114</v>
      </c>
      <c r="B66" s="54">
        <v>17</v>
      </c>
      <c r="C66" s="153" t="str">
        <f t="shared" si="5"/>
        <v>1h25min</v>
      </c>
      <c r="D66" s="166" t="s">
        <v>193</v>
      </c>
      <c r="E66" s="243"/>
      <c r="F66" s="244"/>
      <c r="G66" s="51"/>
    </row>
    <row r="67" spans="1:7" s="52" customFormat="1" ht="27" x14ac:dyDescent="0.3">
      <c r="A67" s="53" t="s">
        <v>111</v>
      </c>
      <c r="B67" s="54">
        <v>14</v>
      </c>
      <c r="C67" s="153" t="str">
        <f t="shared" si="5"/>
        <v>1h10min</v>
      </c>
      <c r="D67" s="166" t="s">
        <v>194</v>
      </c>
      <c r="E67" s="243"/>
      <c r="F67" s="244"/>
      <c r="G67" s="51"/>
    </row>
    <row r="68" spans="1:7" s="52" customFormat="1" x14ac:dyDescent="0.3">
      <c r="A68" s="54"/>
      <c r="B68" s="54"/>
      <c r="C68" s="154" t="str">
        <f t="shared" si="5"/>
        <v/>
      </c>
      <c r="D68" s="55"/>
      <c r="E68" s="243"/>
      <c r="F68" s="244"/>
      <c r="G68" s="51"/>
    </row>
    <row r="69" spans="1:7" s="52" customFormat="1" x14ac:dyDescent="0.3">
      <c r="A69" s="54"/>
      <c r="B69" s="54"/>
      <c r="C69" s="154" t="str">
        <f t="shared" si="5"/>
        <v/>
      </c>
      <c r="D69" s="55"/>
      <c r="E69" s="243"/>
      <c r="F69" s="244"/>
      <c r="G69" s="51"/>
    </row>
    <row r="70" spans="1:7" s="52" customFormat="1" x14ac:dyDescent="0.3">
      <c r="A70" s="54"/>
      <c r="B70" s="54"/>
      <c r="C70" s="154" t="str">
        <f t="shared" si="5"/>
        <v/>
      </c>
      <c r="D70" s="55"/>
      <c r="E70" s="243"/>
      <c r="F70" s="244"/>
      <c r="G70" s="51"/>
    </row>
    <row r="71" spans="1:7" s="52" customFormat="1" ht="15" thickBot="1" x14ac:dyDescent="0.35">
      <c r="A71" s="56"/>
      <c r="B71" s="56"/>
      <c r="C71" s="155" t="str">
        <f t="shared" si="5"/>
        <v/>
      </c>
      <c r="D71" s="57"/>
      <c r="E71" s="241"/>
      <c r="F71" s="242"/>
      <c r="G71" s="51"/>
    </row>
    <row r="72" spans="1:7" s="52" customFormat="1" ht="15" thickBot="1" x14ac:dyDescent="0.35">
      <c r="A72" s="162" t="s">
        <v>28</v>
      </c>
      <c r="B72" s="83">
        <f>SUM(B64:B71)</f>
        <v>38</v>
      </c>
      <c r="C72" s="162" t="str">
        <f xml:space="preserve"> setValueToTime(B72)</f>
        <v>3h10min</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13</v>
      </c>
      <c r="B74" s="164">
        <v>10</v>
      </c>
      <c r="C74" s="164"/>
      <c r="D74" s="157" t="s">
        <v>16</v>
      </c>
      <c r="E74" s="158" t="s">
        <v>75</v>
      </c>
      <c r="F74" s="159" t="s">
        <v>44</v>
      </c>
      <c r="G74" s="46"/>
    </row>
    <row r="75" spans="1:7" s="47" customFormat="1" ht="30" customHeight="1" thickBot="1" x14ac:dyDescent="0.3">
      <c r="A75" s="78" t="s">
        <v>5</v>
      </c>
      <c r="B75" s="161" t="s">
        <v>39</v>
      </c>
      <c r="C75" s="160"/>
      <c r="D75" s="78" t="s">
        <v>14</v>
      </c>
      <c r="E75" s="248" t="s">
        <v>15</v>
      </c>
      <c r="F75" s="249"/>
      <c r="G75" s="46"/>
    </row>
    <row r="76" spans="1:7" s="52" customFormat="1" x14ac:dyDescent="0.3">
      <c r="A76" s="48" t="s">
        <v>4</v>
      </c>
      <c r="B76" s="49">
        <v>38</v>
      </c>
      <c r="C76" s="152" t="str">
        <f xml:space="preserve"> IF(B76="","",setValueToTime(B76))</f>
        <v>3h10min</v>
      </c>
      <c r="D76" s="165" t="s">
        <v>190</v>
      </c>
      <c r="E76" s="237"/>
      <c r="F76" s="238"/>
      <c r="G76" s="51"/>
    </row>
    <row r="77" spans="1:7" s="52" customFormat="1" x14ac:dyDescent="0.3">
      <c r="A77" s="53"/>
      <c r="B77" s="54"/>
      <c r="C77" s="153" t="str">
        <f t="shared" ref="C77:C83" si="6" xml:space="preserve"> IF(B77="","",setValueToTime(B77))</f>
        <v/>
      </c>
      <c r="D77" s="55"/>
      <c r="E77" s="243"/>
      <c r="F77" s="244"/>
      <c r="G77" s="51"/>
    </row>
    <row r="78" spans="1:7" s="52" customFormat="1" x14ac:dyDescent="0.3">
      <c r="A78" s="53"/>
      <c r="B78" s="54"/>
      <c r="C78" s="153" t="str">
        <f t="shared" si="6"/>
        <v/>
      </c>
      <c r="D78" s="55"/>
      <c r="E78" s="243"/>
      <c r="F78" s="244"/>
      <c r="G78" s="51"/>
    </row>
    <row r="79" spans="1:7" s="52" customFormat="1" x14ac:dyDescent="0.3">
      <c r="A79" s="53"/>
      <c r="B79" s="54"/>
      <c r="C79" s="153" t="str">
        <f t="shared" si="6"/>
        <v/>
      </c>
      <c r="D79" s="55"/>
      <c r="E79" s="243"/>
      <c r="F79" s="244"/>
      <c r="G79" s="51"/>
    </row>
    <row r="80" spans="1:7" s="52" customFormat="1" x14ac:dyDescent="0.3">
      <c r="A80" s="54"/>
      <c r="B80" s="54"/>
      <c r="C80" s="154" t="str">
        <f t="shared" si="6"/>
        <v/>
      </c>
      <c r="D80" s="55"/>
      <c r="E80" s="243"/>
      <c r="F80" s="244"/>
      <c r="G80" s="51"/>
    </row>
    <row r="81" spans="1:7" s="52" customFormat="1" x14ac:dyDescent="0.3">
      <c r="A81" s="54"/>
      <c r="B81" s="54"/>
      <c r="C81" s="154" t="str">
        <f t="shared" si="6"/>
        <v/>
      </c>
      <c r="D81" s="55"/>
      <c r="E81" s="243"/>
      <c r="F81" s="244"/>
      <c r="G81" s="51"/>
    </row>
    <row r="82" spans="1:7" s="52" customFormat="1" x14ac:dyDescent="0.3">
      <c r="A82" s="54"/>
      <c r="B82" s="54"/>
      <c r="C82" s="154" t="str">
        <f t="shared" si="6"/>
        <v/>
      </c>
      <c r="D82" s="55"/>
      <c r="E82" s="243"/>
      <c r="F82" s="244"/>
      <c r="G82" s="51"/>
    </row>
    <row r="83" spans="1:7" s="52" customFormat="1" ht="15" thickBot="1" x14ac:dyDescent="0.35">
      <c r="A83" s="56"/>
      <c r="B83" s="56"/>
      <c r="C83" s="155" t="str">
        <f t="shared" si="6"/>
        <v/>
      </c>
      <c r="D83" s="57"/>
      <c r="E83" s="241"/>
      <c r="F83" s="242"/>
      <c r="G83" s="51"/>
    </row>
    <row r="84" spans="1:7" s="52" customFormat="1" ht="15" thickBot="1" x14ac:dyDescent="0.35">
      <c r="A84" s="162" t="s">
        <v>28</v>
      </c>
      <c r="B84" s="83">
        <f>SUM(B76:B83)</f>
        <v>38</v>
      </c>
      <c r="C84" s="162" t="str">
        <f xml:space="preserve"> setValueToTime(B84)</f>
        <v>3h10min</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13</v>
      </c>
      <c r="B86" s="164">
        <v>9</v>
      </c>
      <c r="C86" s="164"/>
      <c r="D86" s="157" t="s">
        <v>16</v>
      </c>
      <c r="E86" s="158" t="s">
        <v>75</v>
      </c>
      <c r="F86" s="159" t="s">
        <v>45</v>
      </c>
      <c r="G86" s="46"/>
    </row>
    <row r="87" spans="1:7" s="47" customFormat="1" ht="30" customHeight="1" thickBot="1" x14ac:dyDescent="0.3">
      <c r="A87" s="78" t="s">
        <v>5</v>
      </c>
      <c r="B87" s="161" t="s">
        <v>39</v>
      </c>
      <c r="C87" s="160"/>
      <c r="D87" s="78" t="s">
        <v>14</v>
      </c>
      <c r="E87" s="248" t="s">
        <v>15</v>
      </c>
      <c r="F87" s="249"/>
      <c r="G87" s="46"/>
    </row>
    <row r="88" spans="1:7" s="52" customFormat="1" x14ac:dyDescent="0.3">
      <c r="A88" s="48" t="s">
        <v>4</v>
      </c>
      <c r="B88" s="49">
        <v>48</v>
      </c>
      <c r="C88" s="152" t="str">
        <f xml:space="preserve"> IF(B88="","",setValueToTime(B88))</f>
        <v>4h</v>
      </c>
      <c r="D88" s="165" t="s">
        <v>190</v>
      </c>
      <c r="E88" s="237"/>
      <c r="F88" s="238"/>
      <c r="G88" s="51"/>
    </row>
    <row r="89" spans="1:7" s="52" customFormat="1" x14ac:dyDescent="0.3">
      <c r="A89" s="53"/>
      <c r="B89" s="54"/>
      <c r="C89" s="153" t="str">
        <f t="shared" ref="C89:C95" si="7" xml:space="preserve"> IF(B89="","",setValueToTime(B89))</f>
        <v/>
      </c>
      <c r="D89" s="55"/>
      <c r="E89" s="243"/>
      <c r="F89" s="244"/>
      <c r="G89" s="51"/>
    </row>
    <row r="90" spans="1:7" s="52" customFormat="1" x14ac:dyDescent="0.3">
      <c r="A90" s="53"/>
      <c r="B90" s="54"/>
      <c r="C90" s="153" t="str">
        <f t="shared" si="7"/>
        <v/>
      </c>
      <c r="D90" s="55"/>
      <c r="E90" s="243"/>
      <c r="F90" s="244"/>
      <c r="G90" s="51"/>
    </row>
    <row r="91" spans="1:7" s="52" customFormat="1" x14ac:dyDescent="0.3">
      <c r="A91" s="53"/>
      <c r="B91" s="54"/>
      <c r="C91" s="153" t="str">
        <f t="shared" si="7"/>
        <v/>
      </c>
      <c r="D91" s="55"/>
      <c r="E91" s="243"/>
      <c r="F91" s="244"/>
      <c r="G91" s="51"/>
    </row>
    <row r="92" spans="1:7" s="52" customFormat="1" x14ac:dyDescent="0.3">
      <c r="A92" s="54"/>
      <c r="B92" s="54"/>
      <c r="C92" s="154" t="str">
        <f t="shared" si="7"/>
        <v/>
      </c>
      <c r="D92" s="55"/>
      <c r="E92" s="243"/>
      <c r="F92" s="244"/>
      <c r="G92" s="51"/>
    </row>
    <row r="93" spans="1:7" s="52" customFormat="1" x14ac:dyDescent="0.3">
      <c r="A93" s="54"/>
      <c r="B93" s="54"/>
      <c r="C93" s="154" t="str">
        <f t="shared" si="7"/>
        <v/>
      </c>
      <c r="D93" s="55"/>
      <c r="E93" s="243"/>
      <c r="F93" s="244"/>
      <c r="G93" s="51"/>
    </row>
    <row r="94" spans="1:7" s="52" customFormat="1" x14ac:dyDescent="0.3">
      <c r="A94" s="54"/>
      <c r="B94" s="54"/>
      <c r="C94" s="154" t="str">
        <f t="shared" si="7"/>
        <v/>
      </c>
      <c r="D94" s="55"/>
      <c r="E94" s="243"/>
      <c r="F94" s="244"/>
      <c r="G94" s="51"/>
    </row>
    <row r="95" spans="1:7" s="52" customFormat="1" ht="15" thickBot="1" x14ac:dyDescent="0.35">
      <c r="A95" s="56"/>
      <c r="B95" s="56"/>
      <c r="C95" s="155" t="str">
        <f t="shared" si="7"/>
        <v/>
      </c>
      <c r="D95" s="57"/>
      <c r="E95" s="241"/>
      <c r="F95" s="242"/>
      <c r="G95" s="51"/>
    </row>
    <row r="96" spans="1:7" s="52" customFormat="1" ht="15" thickBot="1" x14ac:dyDescent="0.35">
      <c r="A96" s="162" t="s">
        <v>28</v>
      </c>
      <c r="B96" s="83">
        <f>SUM(B88:B95)</f>
        <v>48</v>
      </c>
      <c r="C96" s="162" t="str">
        <f xml:space="preserve"> setValueToTime(B96)</f>
        <v>4h</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13</v>
      </c>
      <c r="B98" s="164">
        <v>8</v>
      </c>
      <c r="C98" s="164"/>
      <c r="D98" s="157" t="s">
        <v>16</v>
      </c>
      <c r="E98" s="158" t="s">
        <v>78</v>
      </c>
      <c r="F98" s="159" t="s">
        <v>44</v>
      </c>
      <c r="G98" s="46"/>
    </row>
    <row r="99" spans="1:7" s="47" customFormat="1" ht="30" customHeight="1" thickBot="1" x14ac:dyDescent="0.3">
      <c r="A99" s="78" t="s">
        <v>5</v>
      </c>
      <c r="B99" s="161" t="s">
        <v>39</v>
      </c>
      <c r="C99" s="160"/>
      <c r="D99" s="78" t="s">
        <v>14</v>
      </c>
      <c r="E99" s="248" t="s">
        <v>15</v>
      </c>
      <c r="F99" s="249"/>
      <c r="G99" s="46"/>
    </row>
    <row r="100" spans="1:7" s="52" customFormat="1" ht="40.5" x14ac:dyDescent="0.3">
      <c r="A100" s="48" t="s">
        <v>116</v>
      </c>
      <c r="B100" s="49">
        <v>24</v>
      </c>
      <c r="C100" s="152" t="str">
        <f xml:space="preserve"> IF(B100="","",setValueToTime(B100))</f>
        <v>2h</v>
      </c>
      <c r="D100" s="165" t="s">
        <v>187</v>
      </c>
      <c r="E100" s="250" t="s">
        <v>188</v>
      </c>
      <c r="F100" s="238"/>
      <c r="G100" s="51"/>
    </row>
    <row r="101" spans="1:7" s="52" customFormat="1" ht="27" x14ac:dyDescent="0.3">
      <c r="A101" s="53" t="s">
        <v>110</v>
      </c>
      <c r="B101" s="54">
        <v>14</v>
      </c>
      <c r="C101" s="153" t="str">
        <f t="shared" ref="C101:C107" si="8" xml:space="preserve"> IF(B101="","",setValueToTime(B101))</f>
        <v>1h10min</v>
      </c>
      <c r="D101" s="166" t="s">
        <v>189</v>
      </c>
      <c r="E101" s="243"/>
      <c r="F101" s="244"/>
      <c r="G101" s="51"/>
    </row>
    <row r="102" spans="1:7" s="52" customFormat="1" x14ac:dyDescent="0.3">
      <c r="A102" s="53"/>
      <c r="B102" s="54"/>
      <c r="C102" s="153" t="str">
        <f t="shared" si="8"/>
        <v/>
      </c>
      <c r="D102" s="55"/>
      <c r="E102" s="243"/>
      <c r="F102" s="244"/>
      <c r="G102" s="51"/>
    </row>
    <row r="103" spans="1:7" s="52" customFormat="1" x14ac:dyDescent="0.3">
      <c r="A103" s="53"/>
      <c r="B103" s="54"/>
      <c r="C103" s="153" t="str">
        <f t="shared" si="8"/>
        <v/>
      </c>
      <c r="D103" s="55"/>
      <c r="E103" s="243"/>
      <c r="F103" s="244"/>
      <c r="G103" s="51"/>
    </row>
    <row r="104" spans="1:7" s="52" customFormat="1" x14ac:dyDescent="0.3">
      <c r="A104" s="54"/>
      <c r="B104" s="54"/>
      <c r="C104" s="154" t="str">
        <f t="shared" si="8"/>
        <v/>
      </c>
      <c r="D104" s="55"/>
      <c r="E104" s="243"/>
      <c r="F104" s="244"/>
      <c r="G104" s="51"/>
    </row>
    <row r="105" spans="1:7" s="52" customFormat="1" x14ac:dyDescent="0.3">
      <c r="A105" s="54"/>
      <c r="B105" s="54"/>
      <c r="C105" s="154" t="str">
        <f t="shared" si="8"/>
        <v/>
      </c>
      <c r="D105" s="55"/>
      <c r="E105" s="243"/>
      <c r="F105" s="244"/>
      <c r="G105" s="51"/>
    </row>
    <row r="106" spans="1:7" s="52" customFormat="1" x14ac:dyDescent="0.3">
      <c r="A106" s="54"/>
      <c r="B106" s="54"/>
      <c r="C106" s="154" t="str">
        <f t="shared" si="8"/>
        <v/>
      </c>
      <c r="D106" s="55"/>
      <c r="E106" s="243"/>
      <c r="F106" s="244"/>
      <c r="G106" s="51"/>
    </row>
    <row r="107" spans="1:7" s="52" customFormat="1" ht="15" thickBot="1" x14ac:dyDescent="0.35">
      <c r="A107" s="56"/>
      <c r="B107" s="56"/>
      <c r="C107" s="155" t="str">
        <f t="shared" si="8"/>
        <v/>
      </c>
      <c r="D107" s="57"/>
      <c r="E107" s="241"/>
      <c r="F107" s="242"/>
      <c r="G107" s="51"/>
    </row>
    <row r="108" spans="1:7" s="52" customFormat="1" ht="15" thickBot="1" x14ac:dyDescent="0.35">
      <c r="A108" s="162" t="s">
        <v>28</v>
      </c>
      <c r="B108" s="83">
        <f>SUM(B100:B107)</f>
        <v>38</v>
      </c>
      <c r="C108" s="162" t="str">
        <f xml:space="preserve"> setValueToTime(B108)</f>
        <v>3h10min</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13</v>
      </c>
      <c r="B110" s="164">
        <v>7</v>
      </c>
      <c r="C110" s="164"/>
      <c r="D110" s="157" t="s">
        <v>16</v>
      </c>
      <c r="E110" s="158" t="s">
        <v>78</v>
      </c>
      <c r="F110" s="159" t="s">
        <v>45</v>
      </c>
      <c r="G110" s="46"/>
    </row>
    <row r="111" spans="1:7" s="47" customFormat="1" ht="30" customHeight="1" thickBot="1" x14ac:dyDescent="0.3">
      <c r="A111" s="78" t="s">
        <v>5</v>
      </c>
      <c r="B111" s="161" t="s">
        <v>39</v>
      </c>
      <c r="C111" s="160"/>
      <c r="D111" s="78" t="s">
        <v>14</v>
      </c>
      <c r="E111" s="248" t="s">
        <v>15</v>
      </c>
      <c r="F111" s="249"/>
      <c r="G111" s="46"/>
    </row>
    <row r="112" spans="1:7" s="52" customFormat="1" ht="54" x14ac:dyDescent="0.3">
      <c r="A112" s="48" t="s">
        <v>101</v>
      </c>
      <c r="B112" s="49">
        <v>6</v>
      </c>
      <c r="C112" s="152" t="str">
        <f xml:space="preserve"> IF(B112="","",setValueToTime(B112))</f>
        <v>0h30min</v>
      </c>
      <c r="D112" s="165" t="s">
        <v>181</v>
      </c>
      <c r="E112" s="250" t="s">
        <v>170</v>
      </c>
      <c r="F112" s="238"/>
      <c r="G112" s="51"/>
    </row>
    <row r="113" spans="1:7" s="52" customFormat="1" ht="27" x14ac:dyDescent="0.3">
      <c r="A113" s="53" t="s">
        <v>101</v>
      </c>
      <c r="B113" s="54">
        <v>7</v>
      </c>
      <c r="C113" s="153" t="str">
        <f t="shared" ref="C113:C119" si="9" xml:space="preserve"> IF(B113="","",setValueToTime(B113))</f>
        <v>0h35min</v>
      </c>
      <c r="D113" s="166" t="s">
        <v>182</v>
      </c>
      <c r="E113" s="243"/>
      <c r="F113" s="244"/>
      <c r="G113" s="51"/>
    </row>
    <row r="114" spans="1:7" s="52" customFormat="1" ht="40.5" x14ac:dyDescent="0.3">
      <c r="A114" s="53" t="s">
        <v>102</v>
      </c>
      <c r="B114" s="54">
        <v>5</v>
      </c>
      <c r="C114" s="153" t="str">
        <f t="shared" si="9"/>
        <v>0h25min</v>
      </c>
      <c r="D114" s="166" t="s">
        <v>183</v>
      </c>
      <c r="E114" s="251" t="s">
        <v>184</v>
      </c>
      <c r="F114" s="244"/>
      <c r="G114" s="51"/>
    </row>
    <row r="115" spans="1:7" s="52" customFormat="1" ht="40.5" x14ac:dyDescent="0.3">
      <c r="A115" s="53" t="s">
        <v>116</v>
      </c>
      <c r="B115" s="54">
        <v>30</v>
      </c>
      <c r="C115" s="153" t="str">
        <f t="shared" si="9"/>
        <v>2h30min</v>
      </c>
      <c r="D115" s="166" t="s">
        <v>186</v>
      </c>
      <c r="E115" s="252" t="s">
        <v>185</v>
      </c>
      <c r="F115" s="244"/>
      <c r="G115" s="51"/>
    </row>
    <row r="116" spans="1:7" s="52" customFormat="1" x14ac:dyDescent="0.3">
      <c r="A116" s="54"/>
      <c r="B116" s="54"/>
      <c r="C116" s="154" t="str">
        <f t="shared" si="9"/>
        <v/>
      </c>
      <c r="D116" s="55"/>
      <c r="E116" s="243"/>
      <c r="F116" s="244"/>
      <c r="G116" s="51"/>
    </row>
    <row r="117" spans="1:7" s="52" customFormat="1" x14ac:dyDescent="0.3">
      <c r="A117" s="54"/>
      <c r="B117" s="54"/>
      <c r="C117" s="154" t="str">
        <f t="shared" si="9"/>
        <v/>
      </c>
      <c r="D117" s="55"/>
      <c r="E117" s="243"/>
      <c r="F117" s="244"/>
      <c r="G117" s="51"/>
    </row>
    <row r="118" spans="1:7" s="52" customFormat="1" x14ac:dyDescent="0.3">
      <c r="A118" s="54"/>
      <c r="B118" s="54"/>
      <c r="C118" s="154" t="str">
        <f t="shared" si="9"/>
        <v/>
      </c>
      <c r="D118" s="55"/>
      <c r="E118" s="243"/>
      <c r="F118" s="244"/>
      <c r="G118" s="51"/>
    </row>
    <row r="119" spans="1:7" s="52" customFormat="1" ht="15" thickBot="1" x14ac:dyDescent="0.35">
      <c r="A119" s="56"/>
      <c r="B119" s="56"/>
      <c r="C119" s="155" t="str">
        <f t="shared" si="9"/>
        <v/>
      </c>
      <c r="D119" s="57"/>
      <c r="E119" s="241"/>
      <c r="F119" s="242"/>
      <c r="G119" s="51"/>
    </row>
    <row r="120" spans="1:7" s="52" customFormat="1" ht="15" thickBot="1" x14ac:dyDescent="0.35">
      <c r="A120" s="162" t="s">
        <v>28</v>
      </c>
      <c r="B120" s="83">
        <f>SUM(B112:B119)</f>
        <v>48</v>
      </c>
      <c r="C120" s="162" t="str">
        <f xml:space="preserve"> setValueToTime(B120)</f>
        <v>4h</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13</v>
      </c>
      <c r="B122" s="164">
        <v>6</v>
      </c>
      <c r="C122" s="164"/>
      <c r="D122" s="157" t="s">
        <v>16</v>
      </c>
      <c r="E122" s="158" t="s">
        <v>81</v>
      </c>
      <c r="F122" s="159" t="s">
        <v>45</v>
      </c>
      <c r="G122" s="46"/>
    </row>
    <row r="123" spans="1:7" s="47" customFormat="1" ht="30" customHeight="1" thickBot="1" x14ac:dyDescent="0.3">
      <c r="A123" s="78" t="s">
        <v>5</v>
      </c>
      <c r="B123" s="161" t="s">
        <v>39</v>
      </c>
      <c r="C123" s="160"/>
      <c r="D123" s="78" t="s">
        <v>14</v>
      </c>
      <c r="E123" s="248" t="s">
        <v>15</v>
      </c>
      <c r="F123" s="249"/>
      <c r="G123" s="46"/>
    </row>
    <row r="124" spans="1:7" s="52" customFormat="1" ht="108" customHeight="1" x14ac:dyDescent="0.3">
      <c r="A124" s="48" t="s">
        <v>117</v>
      </c>
      <c r="B124" s="49">
        <v>20</v>
      </c>
      <c r="C124" s="152" t="str">
        <f xml:space="preserve"> IF(B124="","",setValueToTime(B124))</f>
        <v>1h40min</v>
      </c>
      <c r="D124" s="165" t="s">
        <v>177</v>
      </c>
      <c r="E124" s="245" t="s">
        <v>178</v>
      </c>
      <c r="F124" s="238"/>
      <c r="G124" s="51"/>
    </row>
    <row r="125" spans="1:7" s="52" customFormat="1" ht="27" x14ac:dyDescent="0.3">
      <c r="A125" s="53" t="s">
        <v>110</v>
      </c>
      <c r="B125" s="54">
        <v>14</v>
      </c>
      <c r="C125" s="153" t="str">
        <f t="shared" ref="C125:C131" si="10" xml:space="preserve"> IF(B125="","",setValueToTime(B125))</f>
        <v>1h10min</v>
      </c>
      <c r="D125" s="166" t="s">
        <v>180</v>
      </c>
      <c r="E125" s="243"/>
      <c r="F125" s="244"/>
      <c r="G125" s="51"/>
    </row>
    <row r="126" spans="1:7" s="52" customFormat="1" ht="27" x14ac:dyDescent="0.3">
      <c r="A126" s="53" t="s">
        <v>89</v>
      </c>
      <c r="B126" s="54">
        <v>3</v>
      </c>
      <c r="C126" s="153" t="str">
        <f t="shared" si="10"/>
        <v>0h15min</v>
      </c>
      <c r="D126" s="166" t="s">
        <v>179</v>
      </c>
      <c r="E126" s="243"/>
      <c r="F126" s="244"/>
      <c r="G126" s="51"/>
    </row>
    <row r="127" spans="1:7" s="52" customFormat="1" ht="27" x14ac:dyDescent="0.3">
      <c r="A127" s="53" t="s">
        <v>93</v>
      </c>
      <c r="B127" s="54">
        <v>1</v>
      </c>
      <c r="C127" s="153" t="str">
        <f t="shared" si="10"/>
        <v>0h5min</v>
      </c>
      <c r="D127" s="166" t="s">
        <v>91</v>
      </c>
      <c r="E127" s="243"/>
      <c r="F127" s="244"/>
      <c r="G127" s="51"/>
    </row>
    <row r="128" spans="1:7" s="52" customFormat="1" x14ac:dyDescent="0.3">
      <c r="A128" s="54"/>
      <c r="B128" s="54"/>
      <c r="C128" s="154" t="str">
        <f t="shared" si="10"/>
        <v/>
      </c>
      <c r="D128" s="55"/>
      <c r="E128" s="243"/>
      <c r="F128" s="244"/>
      <c r="G128" s="51"/>
    </row>
    <row r="129" spans="1:7" s="52" customFormat="1" x14ac:dyDescent="0.3">
      <c r="A129" s="54"/>
      <c r="B129" s="54"/>
      <c r="C129" s="154" t="str">
        <f t="shared" si="10"/>
        <v/>
      </c>
      <c r="D129" s="55"/>
      <c r="E129" s="243"/>
      <c r="F129" s="244"/>
      <c r="G129" s="51"/>
    </row>
    <row r="130" spans="1:7" s="52" customFormat="1" x14ac:dyDescent="0.3">
      <c r="A130" s="54"/>
      <c r="B130" s="54"/>
      <c r="C130" s="154" t="str">
        <f t="shared" si="10"/>
        <v/>
      </c>
      <c r="D130" s="55"/>
      <c r="E130" s="243"/>
      <c r="F130" s="244"/>
      <c r="G130" s="51"/>
    </row>
    <row r="131" spans="1:7" s="52" customFormat="1" ht="15" thickBot="1" x14ac:dyDescent="0.35">
      <c r="A131" s="56"/>
      <c r="B131" s="56"/>
      <c r="C131" s="155" t="str">
        <f t="shared" si="10"/>
        <v/>
      </c>
      <c r="D131" s="57"/>
      <c r="E131" s="241"/>
      <c r="F131" s="242"/>
      <c r="G131" s="51"/>
    </row>
    <row r="132" spans="1:7" s="52" customFormat="1" ht="15" thickBot="1" x14ac:dyDescent="0.35">
      <c r="A132" s="162" t="s">
        <v>28</v>
      </c>
      <c r="B132" s="83">
        <f>SUM(B124:B131)</f>
        <v>38</v>
      </c>
      <c r="C132" s="162" t="str">
        <f xml:space="preserve"> setValueToTime(B132)</f>
        <v>3h10min</v>
      </c>
      <c r="D132" s="121"/>
      <c r="E132" s="246"/>
      <c r="F132" s="247"/>
      <c r="G132" s="51"/>
    </row>
    <row r="133" spans="1:7" s="59" customFormat="1" ht="15" thickBot="1" x14ac:dyDescent="0.35">
      <c r="A133" s="77"/>
      <c r="B133" s="77"/>
      <c r="C133" s="77"/>
      <c r="D133" s="77"/>
      <c r="E133" s="77"/>
      <c r="F133" s="77"/>
      <c r="G133" s="58"/>
    </row>
    <row r="134" spans="1:7" s="47" customFormat="1" ht="30" customHeight="1" thickBot="1" x14ac:dyDescent="0.3">
      <c r="A134" s="156" t="s">
        <v>13</v>
      </c>
      <c r="B134" s="164">
        <v>5</v>
      </c>
      <c r="C134" s="164"/>
      <c r="D134" s="157" t="s">
        <v>16</v>
      </c>
      <c r="E134" s="158" t="s">
        <v>83</v>
      </c>
      <c r="F134" s="159" t="s">
        <v>44</v>
      </c>
      <c r="G134" s="46"/>
    </row>
    <row r="135" spans="1:7" s="47" customFormat="1" ht="30" customHeight="1" thickBot="1" x14ac:dyDescent="0.3">
      <c r="A135" s="78" t="s">
        <v>5</v>
      </c>
      <c r="B135" s="161" t="s">
        <v>39</v>
      </c>
      <c r="C135" s="160"/>
      <c r="D135" s="78" t="s">
        <v>14</v>
      </c>
      <c r="E135" s="248" t="s">
        <v>15</v>
      </c>
      <c r="F135" s="249"/>
      <c r="G135" s="46"/>
    </row>
    <row r="136" spans="1:7" s="52" customFormat="1" ht="40.5" x14ac:dyDescent="0.3">
      <c r="A136" s="48" t="s">
        <v>117</v>
      </c>
      <c r="B136" s="49">
        <v>33</v>
      </c>
      <c r="C136" s="152" t="str">
        <f xml:space="preserve"> IF(B136="","",setValueToTime(B136))</f>
        <v>2h45min</v>
      </c>
      <c r="D136" s="165" t="s">
        <v>174</v>
      </c>
      <c r="E136" s="250" t="s">
        <v>171</v>
      </c>
      <c r="F136" s="238"/>
      <c r="G136" s="51"/>
    </row>
    <row r="137" spans="1:7" s="52" customFormat="1" ht="27" x14ac:dyDescent="0.3">
      <c r="A137" s="53" t="s">
        <v>110</v>
      </c>
      <c r="B137" s="54">
        <v>4</v>
      </c>
      <c r="C137" s="153" t="str">
        <f t="shared" ref="C137:C143" si="11" xml:space="preserve"> IF(B137="","",setValueToTime(B137))</f>
        <v>0h20min</v>
      </c>
      <c r="D137" s="166" t="s">
        <v>175</v>
      </c>
      <c r="E137" s="243"/>
      <c r="F137" s="244"/>
      <c r="G137" s="51"/>
    </row>
    <row r="138" spans="1:7" s="52" customFormat="1" ht="27" x14ac:dyDescent="0.3">
      <c r="A138" s="53" t="s">
        <v>93</v>
      </c>
      <c r="B138" s="54">
        <v>1</v>
      </c>
      <c r="C138" s="153" t="str">
        <f t="shared" si="11"/>
        <v>0h5min</v>
      </c>
      <c r="D138" s="55" t="s">
        <v>173</v>
      </c>
      <c r="E138" s="243"/>
      <c r="F138" s="244"/>
      <c r="G138" s="51"/>
    </row>
    <row r="139" spans="1:7" s="52" customFormat="1" x14ac:dyDescent="0.3">
      <c r="A139" s="53"/>
      <c r="B139" s="54"/>
      <c r="C139" s="153" t="str">
        <f t="shared" si="11"/>
        <v/>
      </c>
      <c r="D139" s="55"/>
      <c r="E139" s="243"/>
      <c r="F139" s="244"/>
      <c r="G139" s="51"/>
    </row>
    <row r="140" spans="1:7" s="52" customFormat="1" x14ac:dyDescent="0.3">
      <c r="A140" s="54"/>
      <c r="B140" s="54"/>
      <c r="C140" s="154" t="str">
        <f t="shared" si="11"/>
        <v/>
      </c>
      <c r="D140" s="55"/>
      <c r="E140" s="243"/>
      <c r="F140" s="244"/>
      <c r="G140" s="51"/>
    </row>
    <row r="141" spans="1:7" s="52" customFormat="1" x14ac:dyDescent="0.3">
      <c r="A141" s="54"/>
      <c r="B141" s="54"/>
      <c r="C141" s="154" t="str">
        <f t="shared" si="11"/>
        <v/>
      </c>
      <c r="D141" s="55"/>
      <c r="E141" s="243"/>
      <c r="F141" s="244"/>
      <c r="G141" s="51"/>
    </row>
    <row r="142" spans="1:7" s="52" customFormat="1" x14ac:dyDescent="0.3">
      <c r="A142" s="54"/>
      <c r="B142" s="54"/>
      <c r="C142" s="154" t="str">
        <f t="shared" si="11"/>
        <v/>
      </c>
      <c r="D142" s="55"/>
      <c r="E142" s="243"/>
      <c r="F142" s="244"/>
      <c r="G142" s="51"/>
    </row>
    <row r="143" spans="1:7" s="52" customFormat="1" ht="15" thickBot="1" x14ac:dyDescent="0.35">
      <c r="A143" s="56"/>
      <c r="B143" s="56"/>
      <c r="C143" s="155" t="str">
        <f t="shared" si="11"/>
        <v/>
      </c>
      <c r="D143" s="57"/>
      <c r="E143" s="241"/>
      <c r="F143" s="242"/>
      <c r="G143" s="51"/>
    </row>
    <row r="144" spans="1:7" s="52" customFormat="1" ht="15" thickBot="1" x14ac:dyDescent="0.35">
      <c r="A144" s="162" t="s">
        <v>28</v>
      </c>
      <c r="B144" s="83">
        <f>SUM(B136:B143)</f>
        <v>38</v>
      </c>
      <c r="C144" s="162" t="str">
        <f xml:space="preserve"> setValueToTime(B144)</f>
        <v>3h10min</v>
      </c>
      <c r="D144" s="121"/>
      <c r="E144" s="246"/>
      <c r="F144" s="247"/>
      <c r="G144" s="51"/>
    </row>
    <row r="145" spans="1:7" s="59" customFormat="1" ht="15" thickBot="1" x14ac:dyDescent="0.35">
      <c r="A145" s="77"/>
      <c r="B145" s="77"/>
      <c r="C145" s="77"/>
      <c r="D145" s="77"/>
      <c r="E145" s="77"/>
      <c r="F145" s="77"/>
      <c r="G145" s="58"/>
    </row>
    <row r="146" spans="1:7" s="47" customFormat="1" ht="30" customHeight="1" thickBot="1" x14ac:dyDescent="0.3">
      <c r="A146" s="156" t="s">
        <v>13</v>
      </c>
      <c r="B146" s="164">
        <v>4</v>
      </c>
      <c r="C146" s="164"/>
      <c r="D146" s="157" t="s">
        <v>16</v>
      </c>
      <c r="E146" s="158" t="s">
        <v>83</v>
      </c>
      <c r="F146" s="159" t="s">
        <v>45</v>
      </c>
      <c r="G146" s="46"/>
    </row>
    <row r="147" spans="1:7" s="47" customFormat="1" ht="30" customHeight="1" thickBot="1" x14ac:dyDescent="0.3">
      <c r="A147" s="78" t="s">
        <v>5</v>
      </c>
      <c r="B147" s="161" t="s">
        <v>39</v>
      </c>
      <c r="C147" s="160"/>
      <c r="D147" s="78" t="s">
        <v>14</v>
      </c>
      <c r="E147" s="248" t="s">
        <v>15</v>
      </c>
      <c r="F147" s="249"/>
      <c r="G147" s="46"/>
    </row>
    <row r="148" spans="1:7" s="52" customFormat="1" ht="40.5" x14ac:dyDescent="0.3">
      <c r="A148" s="48" t="s">
        <v>102</v>
      </c>
      <c r="B148" s="49">
        <v>14</v>
      </c>
      <c r="C148" s="152" t="str">
        <f xml:space="preserve"> IF(B148="","",setValueToTime(B148))</f>
        <v>1h10min</v>
      </c>
      <c r="D148" s="165" t="s">
        <v>176</v>
      </c>
      <c r="E148" s="250" t="s">
        <v>167</v>
      </c>
      <c r="F148" s="238"/>
      <c r="G148" s="51"/>
    </row>
    <row r="149" spans="1:7" s="52" customFormat="1" ht="27" x14ac:dyDescent="0.3">
      <c r="A149" s="53" t="s">
        <v>110</v>
      </c>
      <c r="B149" s="54">
        <v>5</v>
      </c>
      <c r="C149" s="153" t="str">
        <f t="shared" ref="C149:C155" si="12" xml:space="preserve"> IF(B149="","",setValueToTime(B149))</f>
        <v>0h25min</v>
      </c>
      <c r="D149" s="166" t="s">
        <v>169</v>
      </c>
      <c r="E149" s="243"/>
      <c r="F149" s="244"/>
      <c r="G149" s="51"/>
    </row>
    <row r="150" spans="1:7" s="52" customFormat="1" ht="40.5" x14ac:dyDescent="0.3">
      <c r="A150" s="53" t="s">
        <v>117</v>
      </c>
      <c r="B150" s="54">
        <v>19</v>
      </c>
      <c r="C150" s="153" t="str">
        <f t="shared" si="12"/>
        <v>1h35min</v>
      </c>
      <c r="D150" s="166" t="s">
        <v>172</v>
      </c>
      <c r="E150" s="251" t="s">
        <v>170</v>
      </c>
      <c r="F150" s="244"/>
      <c r="G150" s="51"/>
    </row>
    <row r="151" spans="1:7" s="52" customFormat="1" x14ac:dyDescent="0.3">
      <c r="A151" s="53"/>
      <c r="B151" s="54"/>
      <c r="C151" s="153" t="str">
        <f t="shared" si="12"/>
        <v/>
      </c>
      <c r="D151" s="55"/>
      <c r="E151" s="243"/>
      <c r="F151" s="244"/>
      <c r="G151" s="51"/>
    </row>
    <row r="152" spans="1:7" s="52" customFormat="1" x14ac:dyDescent="0.3">
      <c r="A152" s="54"/>
      <c r="B152" s="54"/>
      <c r="C152" s="154" t="str">
        <f t="shared" si="12"/>
        <v/>
      </c>
      <c r="D152" s="55"/>
      <c r="E152" s="243"/>
      <c r="F152" s="244"/>
      <c r="G152" s="51"/>
    </row>
    <row r="153" spans="1:7" s="52" customFormat="1" x14ac:dyDescent="0.3">
      <c r="A153" s="54"/>
      <c r="B153" s="54"/>
      <c r="C153" s="154" t="str">
        <f t="shared" si="12"/>
        <v/>
      </c>
      <c r="D153" s="55"/>
      <c r="E153" s="243"/>
      <c r="F153" s="244"/>
      <c r="G153" s="51"/>
    </row>
    <row r="154" spans="1:7" s="52" customFormat="1" x14ac:dyDescent="0.3">
      <c r="A154" s="54"/>
      <c r="B154" s="54"/>
      <c r="C154" s="154" t="str">
        <f t="shared" si="12"/>
        <v/>
      </c>
      <c r="D154" s="55"/>
      <c r="E154" s="243"/>
      <c r="F154" s="244"/>
      <c r="G154" s="51"/>
    </row>
    <row r="155" spans="1:7" s="52" customFormat="1" ht="15" thickBot="1" x14ac:dyDescent="0.35">
      <c r="A155" s="56"/>
      <c r="B155" s="56"/>
      <c r="C155" s="155" t="str">
        <f t="shared" si="12"/>
        <v/>
      </c>
      <c r="D155" s="57"/>
      <c r="E155" s="241"/>
      <c r="F155" s="242"/>
      <c r="G155" s="51"/>
    </row>
    <row r="156" spans="1:7" s="52" customFormat="1" ht="15" thickBot="1" x14ac:dyDescent="0.35">
      <c r="A156" s="162" t="s">
        <v>28</v>
      </c>
      <c r="B156" s="83">
        <f>SUM(B148:B155)</f>
        <v>38</v>
      </c>
      <c r="C156" s="162" t="str">
        <f xml:space="preserve"> setValueToTime(B156)</f>
        <v>3h10min</v>
      </c>
      <c r="D156" s="121"/>
      <c r="E156" s="246"/>
      <c r="F156" s="247"/>
      <c r="G156" s="51"/>
    </row>
    <row r="157" spans="1:7" s="59" customFormat="1" ht="15" thickBot="1" x14ac:dyDescent="0.35">
      <c r="A157" s="77"/>
      <c r="B157" s="77"/>
      <c r="C157" s="77"/>
      <c r="D157" s="77"/>
      <c r="E157" s="77"/>
      <c r="F157" s="77"/>
      <c r="G157" s="58"/>
    </row>
    <row r="158" spans="1:7" s="47" customFormat="1" ht="30" customHeight="1" thickBot="1" x14ac:dyDescent="0.3">
      <c r="A158" s="156" t="s">
        <v>13</v>
      </c>
      <c r="B158" s="164">
        <v>3</v>
      </c>
      <c r="C158" s="164"/>
      <c r="D158" s="157" t="s">
        <v>16</v>
      </c>
      <c r="E158" s="158" t="s">
        <v>85</v>
      </c>
      <c r="F158" s="159" t="s">
        <v>44</v>
      </c>
      <c r="G158" s="46"/>
    </row>
    <row r="159" spans="1:7" s="47" customFormat="1" ht="30" customHeight="1" thickBot="1" x14ac:dyDescent="0.3">
      <c r="A159" s="78" t="s">
        <v>5</v>
      </c>
      <c r="B159" s="161" t="s">
        <v>39</v>
      </c>
      <c r="C159" s="160"/>
      <c r="D159" s="78" t="s">
        <v>14</v>
      </c>
      <c r="E159" s="248" t="s">
        <v>15</v>
      </c>
      <c r="F159" s="249"/>
      <c r="G159" s="46"/>
    </row>
    <row r="160" spans="1:7" s="52" customFormat="1" ht="27" x14ac:dyDescent="0.3">
      <c r="A160" s="48" t="s">
        <v>97</v>
      </c>
      <c r="B160" s="49">
        <v>18</v>
      </c>
      <c r="C160" s="152" t="str">
        <f xml:space="preserve"> IF(B160="","",setValueToTime(B160))</f>
        <v>1h30min</v>
      </c>
      <c r="D160" s="165" t="s">
        <v>162</v>
      </c>
      <c r="E160" s="237"/>
      <c r="F160" s="238"/>
      <c r="G160" s="51"/>
    </row>
    <row r="161" spans="1:7" s="52" customFormat="1" ht="54" x14ac:dyDescent="0.3">
      <c r="A161" s="53" t="s">
        <v>111</v>
      </c>
      <c r="B161" s="54">
        <v>6</v>
      </c>
      <c r="C161" s="153" t="str">
        <f t="shared" ref="C161:C167" si="13" xml:space="preserve"> IF(B161="","",setValueToTime(B161))</f>
        <v>0h30min</v>
      </c>
      <c r="D161" s="166" t="s">
        <v>163</v>
      </c>
      <c r="E161" s="251" t="s">
        <v>168</v>
      </c>
      <c r="F161" s="244"/>
      <c r="G161" s="51"/>
    </row>
    <row r="162" spans="1:7" s="52" customFormat="1" ht="40.5" x14ac:dyDescent="0.3">
      <c r="A162" s="53" t="s">
        <v>103</v>
      </c>
      <c r="B162" s="54">
        <v>4</v>
      </c>
      <c r="C162" s="153" t="str">
        <f t="shared" si="13"/>
        <v>0h20min</v>
      </c>
      <c r="D162" s="166" t="s">
        <v>164</v>
      </c>
      <c r="E162" s="243"/>
      <c r="F162" s="244"/>
      <c r="G162" s="51"/>
    </row>
    <row r="163" spans="1:7" s="52" customFormat="1" ht="40.5" x14ac:dyDescent="0.3">
      <c r="A163" s="53" t="s">
        <v>100</v>
      </c>
      <c r="B163" s="54">
        <v>10</v>
      </c>
      <c r="C163" s="153" t="str">
        <f t="shared" si="13"/>
        <v>0h50min</v>
      </c>
      <c r="D163" s="166" t="s">
        <v>166</v>
      </c>
      <c r="E163" s="243"/>
      <c r="F163" s="244"/>
      <c r="G163" s="51"/>
    </row>
    <row r="164" spans="1:7" s="52" customFormat="1" x14ac:dyDescent="0.3">
      <c r="A164" s="54"/>
      <c r="B164" s="54"/>
      <c r="C164" s="154" t="str">
        <f t="shared" si="13"/>
        <v/>
      </c>
      <c r="D164" s="55"/>
      <c r="E164" s="243"/>
      <c r="F164" s="244"/>
      <c r="G164" s="51"/>
    </row>
    <row r="165" spans="1:7" s="52" customFormat="1" x14ac:dyDescent="0.3">
      <c r="A165" s="54"/>
      <c r="B165" s="54"/>
      <c r="C165" s="154" t="str">
        <f t="shared" si="13"/>
        <v/>
      </c>
      <c r="D165" s="55"/>
      <c r="E165" s="243"/>
      <c r="F165" s="244"/>
      <c r="G165" s="51"/>
    </row>
    <row r="166" spans="1:7" s="52" customFormat="1" x14ac:dyDescent="0.3">
      <c r="A166" s="54"/>
      <c r="B166" s="54"/>
      <c r="C166" s="154" t="str">
        <f t="shared" si="13"/>
        <v/>
      </c>
      <c r="D166" s="55"/>
      <c r="E166" s="243"/>
      <c r="F166" s="244"/>
      <c r="G166" s="51"/>
    </row>
    <row r="167" spans="1:7" s="52" customFormat="1" ht="15" thickBot="1" x14ac:dyDescent="0.35">
      <c r="A167" s="56"/>
      <c r="B167" s="56"/>
      <c r="C167" s="155" t="str">
        <f t="shared" si="13"/>
        <v/>
      </c>
      <c r="D167" s="57"/>
      <c r="E167" s="241"/>
      <c r="F167" s="242"/>
      <c r="G167" s="51"/>
    </row>
    <row r="168" spans="1:7" s="52" customFormat="1" ht="15" thickBot="1" x14ac:dyDescent="0.35">
      <c r="A168" s="162" t="s">
        <v>28</v>
      </c>
      <c r="B168" s="83">
        <f>SUM(B160:B167)</f>
        <v>38</v>
      </c>
      <c r="C168" s="162" t="str">
        <f xml:space="preserve"> setValueToTime(B168)</f>
        <v>3h10min</v>
      </c>
      <c r="D168" s="121"/>
      <c r="E168" s="246"/>
      <c r="F168" s="247"/>
      <c r="G168" s="51"/>
    </row>
    <row r="169" spans="1:7" s="59" customFormat="1" ht="15" thickBot="1" x14ac:dyDescent="0.35">
      <c r="A169" s="77"/>
      <c r="B169" s="77"/>
      <c r="C169" s="77"/>
      <c r="D169" s="77"/>
      <c r="E169" s="77"/>
      <c r="F169" s="77"/>
      <c r="G169" s="58"/>
    </row>
    <row r="170" spans="1:7" s="47" customFormat="1" ht="30" customHeight="1" thickBot="1" x14ac:dyDescent="0.3">
      <c r="A170" s="156" t="s">
        <v>13</v>
      </c>
      <c r="B170" s="164">
        <v>2</v>
      </c>
      <c r="C170" s="164"/>
      <c r="D170" s="157" t="s">
        <v>16</v>
      </c>
      <c r="E170" s="158" t="s">
        <v>85</v>
      </c>
      <c r="F170" s="159" t="s">
        <v>45</v>
      </c>
      <c r="G170" s="46"/>
    </row>
    <row r="171" spans="1:7" s="47" customFormat="1" ht="30" customHeight="1" thickBot="1" x14ac:dyDescent="0.3">
      <c r="A171" s="78" t="s">
        <v>5</v>
      </c>
      <c r="B171" s="161" t="s">
        <v>39</v>
      </c>
      <c r="C171" s="160"/>
      <c r="D171" s="78" t="s">
        <v>14</v>
      </c>
      <c r="E171" s="248" t="s">
        <v>15</v>
      </c>
      <c r="F171" s="249"/>
      <c r="G171" s="46"/>
    </row>
    <row r="172" spans="1:7" s="52" customFormat="1" ht="27" x14ac:dyDescent="0.3">
      <c r="A172" s="48" t="s">
        <v>97</v>
      </c>
      <c r="B172" s="49">
        <v>48</v>
      </c>
      <c r="C172" s="152" t="str">
        <f xml:space="preserve"> IF(B172="","",setValueToTime(B172))</f>
        <v>4h</v>
      </c>
      <c r="D172" s="165" t="s">
        <v>161</v>
      </c>
      <c r="E172" s="237"/>
      <c r="F172" s="238"/>
      <c r="G172" s="51"/>
    </row>
    <row r="173" spans="1:7" s="52" customFormat="1" x14ac:dyDescent="0.3">
      <c r="A173" s="53"/>
      <c r="B173" s="54"/>
      <c r="C173" s="153" t="str">
        <f t="shared" ref="C173:C179" si="14" xml:space="preserve"> IF(B173="","",setValueToTime(B173))</f>
        <v/>
      </c>
      <c r="D173" s="55"/>
      <c r="E173" s="243"/>
      <c r="F173" s="244"/>
      <c r="G173" s="51"/>
    </row>
    <row r="174" spans="1:7" s="52" customFormat="1" x14ac:dyDescent="0.3">
      <c r="A174" s="53"/>
      <c r="B174" s="54"/>
      <c r="C174" s="153" t="str">
        <f t="shared" si="14"/>
        <v/>
      </c>
      <c r="D174" s="55"/>
      <c r="E174" s="243"/>
      <c r="F174" s="244"/>
      <c r="G174" s="51"/>
    </row>
    <row r="175" spans="1:7" s="52" customFormat="1" x14ac:dyDescent="0.3">
      <c r="A175" s="53"/>
      <c r="B175" s="54"/>
      <c r="C175" s="153" t="str">
        <f t="shared" si="14"/>
        <v/>
      </c>
      <c r="D175" s="55"/>
      <c r="E175" s="243"/>
      <c r="F175" s="244"/>
      <c r="G175" s="51"/>
    </row>
    <row r="176" spans="1:7" s="52" customFormat="1" x14ac:dyDescent="0.3">
      <c r="A176" s="54"/>
      <c r="B176" s="54"/>
      <c r="C176" s="154" t="str">
        <f t="shared" si="14"/>
        <v/>
      </c>
      <c r="D176" s="55"/>
      <c r="E176" s="243"/>
      <c r="F176" s="244"/>
      <c r="G176" s="51"/>
    </row>
    <row r="177" spans="1:7" s="52" customFormat="1" x14ac:dyDescent="0.3">
      <c r="A177" s="54"/>
      <c r="B177" s="54"/>
      <c r="C177" s="154" t="str">
        <f t="shared" si="14"/>
        <v/>
      </c>
      <c r="D177" s="55"/>
      <c r="E177" s="243"/>
      <c r="F177" s="244"/>
      <c r="G177" s="51"/>
    </row>
    <row r="178" spans="1:7" s="52" customFormat="1" x14ac:dyDescent="0.3">
      <c r="A178" s="54"/>
      <c r="B178" s="54"/>
      <c r="C178" s="154" t="str">
        <f t="shared" si="14"/>
        <v/>
      </c>
      <c r="D178" s="55"/>
      <c r="E178" s="243"/>
      <c r="F178" s="244"/>
      <c r="G178" s="51"/>
    </row>
    <row r="179" spans="1:7" s="52" customFormat="1" ht="15" thickBot="1" x14ac:dyDescent="0.35">
      <c r="A179" s="56"/>
      <c r="B179" s="56"/>
      <c r="C179" s="155" t="str">
        <f t="shared" si="14"/>
        <v/>
      </c>
      <c r="D179" s="57"/>
      <c r="E179" s="241"/>
      <c r="F179" s="242"/>
      <c r="G179" s="51"/>
    </row>
    <row r="180" spans="1:7" s="52" customFormat="1" ht="15" thickBot="1" x14ac:dyDescent="0.35">
      <c r="A180" s="162" t="s">
        <v>28</v>
      </c>
      <c r="B180" s="83">
        <f>SUM(B172:B179)</f>
        <v>48</v>
      </c>
      <c r="C180" s="162" t="str">
        <f xml:space="preserve"> setValueToTime(B180)</f>
        <v>4h</v>
      </c>
      <c r="D180" s="121"/>
      <c r="E180" s="246"/>
      <c r="F180" s="247"/>
      <c r="G180" s="51"/>
    </row>
    <row r="181" spans="1:7" s="59" customFormat="1" ht="15" thickBot="1" x14ac:dyDescent="0.35">
      <c r="A181" s="77"/>
      <c r="B181" s="77"/>
      <c r="C181" s="77"/>
      <c r="D181" s="77"/>
      <c r="E181" s="77"/>
      <c r="F181" s="77"/>
      <c r="G181" s="58"/>
    </row>
    <row r="182" spans="1:7" s="47" customFormat="1" ht="30" customHeight="1" thickBot="1" x14ac:dyDescent="0.3">
      <c r="A182" s="156" t="s">
        <v>13</v>
      </c>
      <c r="B182" s="164">
        <v>1</v>
      </c>
      <c r="C182" s="164"/>
      <c r="D182" s="157" t="s">
        <v>16</v>
      </c>
      <c r="E182" s="158" t="s">
        <v>86</v>
      </c>
      <c r="F182" s="159" t="s">
        <v>44</v>
      </c>
      <c r="G182" s="46"/>
    </row>
    <row r="183" spans="1:7" s="47" customFormat="1" ht="30" customHeight="1" thickBot="1" x14ac:dyDescent="0.3">
      <c r="A183" s="78" t="s">
        <v>5</v>
      </c>
      <c r="B183" s="161" t="s">
        <v>39</v>
      </c>
      <c r="C183" s="160"/>
      <c r="D183" s="78" t="s">
        <v>14</v>
      </c>
      <c r="E183" s="248" t="s">
        <v>15</v>
      </c>
      <c r="F183" s="249"/>
      <c r="G183" s="46"/>
    </row>
    <row r="184" spans="1:7" s="52" customFormat="1" ht="27" x14ac:dyDescent="0.3">
      <c r="A184" s="48" t="s">
        <v>89</v>
      </c>
      <c r="B184" s="49">
        <v>9</v>
      </c>
      <c r="C184" s="152" t="str">
        <f xml:space="preserve"> IF(B184="","",setValueToTime(B184))</f>
        <v>0h45min</v>
      </c>
      <c r="D184" s="165" t="s">
        <v>88</v>
      </c>
      <c r="E184" s="237"/>
      <c r="F184" s="238"/>
      <c r="G184" s="51"/>
    </row>
    <row r="185" spans="1:7" s="52" customFormat="1" ht="27" x14ac:dyDescent="0.3">
      <c r="A185" s="53" t="s">
        <v>43</v>
      </c>
      <c r="B185" s="54">
        <v>19</v>
      </c>
      <c r="C185" s="153" t="str">
        <f t="shared" ref="C185:C191" si="15" xml:space="preserve"> IF(B185="","",setValueToTime(B185))</f>
        <v>1h35min</v>
      </c>
      <c r="D185" s="166" t="s">
        <v>90</v>
      </c>
      <c r="E185" s="243"/>
      <c r="F185" s="244"/>
      <c r="G185" s="51"/>
    </row>
    <row r="186" spans="1:7" s="52" customFormat="1" x14ac:dyDescent="0.3">
      <c r="A186" s="53" t="s">
        <v>42</v>
      </c>
      <c r="B186" s="54">
        <v>7</v>
      </c>
      <c r="C186" s="153" t="str">
        <f t="shared" si="15"/>
        <v>0h35min</v>
      </c>
      <c r="D186" s="166" t="s">
        <v>92</v>
      </c>
      <c r="E186" s="243"/>
      <c r="F186" s="244"/>
      <c r="G186" s="51"/>
    </row>
    <row r="187" spans="1:7" s="52" customFormat="1" x14ac:dyDescent="0.3">
      <c r="A187" s="53" t="s">
        <v>87</v>
      </c>
      <c r="B187" s="54">
        <v>1</v>
      </c>
      <c r="C187" s="153" t="str">
        <f t="shared" si="15"/>
        <v>0h5min</v>
      </c>
      <c r="D187" s="166" t="s">
        <v>91</v>
      </c>
      <c r="E187" s="243"/>
      <c r="F187" s="244"/>
      <c r="G187" s="51"/>
    </row>
    <row r="188" spans="1:7" s="52" customFormat="1" x14ac:dyDescent="0.3">
      <c r="A188" s="54"/>
      <c r="B188" s="54"/>
      <c r="C188" s="154" t="str">
        <f t="shared" si="15"/>
        <v/>
      </c>
      <c r="D188" s="55"/>
      <c r="E188" s="243"/>
      <c r="F188" s="244"/>
      <c r="G188" s="51"/>
    </row>
    <row r="189" spans="1:7" s="52" customFormat="1" x14ac:dyDescent="0.3">
      <c r="A189" s="54"/>
      <c r="B189" s="54"/>
      <c r="C189" s="154" t="str">
        <f t="shared" si="15"/>
        <v/>
      </c>
      <c r="D189" s="55"/>
      <c r="E189" s="243"/>
      <c r="F189" s="244"/>
      <c r="G189" s="51"/>
    </row>
    <row r="190" spans="1:7" s="52" customFormat="1" x14ac:dyDescent="0.3">
      <c r="A190" s="54"/>
      <c r="B190" s="54"/>
      <c r="C190" s="154" t="str">
        <f t="shared" si="15"/>
        <v/>
      </c>
      <c r="D190" s="55"/>
      <c r="E190" s="243"/>
      <c r="F190" s="244"/>
      <c r="G190" s="51"/>
    </row>
    <row r="191" spans="1:7" s="52" customFormat="1" ht="15" thickBot="1" x14ac:dyDescent="0.35">
      <c r="A191" s="56"/>
      <c r="B191" s="56"/>
      <c r="C191" s="155" t="str">
        <f t="shared" si="15"/>
        <v/>
      </c>
      <c r="D191" s="57"/>
      <c r="E191" s="241"/>
      <c r="F191" s="242"/>
      <c r="G191" s="51"/>
    </row>
    <row r="192" spans="1:7" s="52" customFormat="1" ht="15" thickBot="1" x14ac:dyDescent="0.35">
      <c r="A192" s="162" t="s">
        <v>28</v>
      </c>
      <c r="B192" s="83">
        <f>SUM(B184:B191)</f>
        <v>36</v>
      </c>
      <c r="C192" s="162" t="str">
        <f xml:space="preserve"> setValueToTime(B192)</f>
        <v>3h</v>
      </c>
      <c r="D192" s="121"/>
      <c r="E192" s="246"/>
      <c r="F192" s="247"/>
      <c r="G192" s="51"/>
    </row>
    <row r="193" spans="1:7" s="59" customFormat="1" x14ac:dyDescent="0.3">
      <c r="A193" s="77"/>
      <c r="B193" s="77"/>
      <c r="C193" s="77"/>
      <c r="D193" s="77"/>
      <c r="E193" s="77"/>
      <c r="F193" s="77"/>
      <c r="G193" s="58"/>
    </row>
  </sheetData>
  <sheetProtection formatRows="0" insertRows="0" insertHyperlinks="0" deleteRows="0" selectLockedCells="1"/>
  <mergeCells count="16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28:F128"/>
    <mergeCell ref="E129:F129"/>
    <mergeCell ref="E130:F130"/>
    <mergeCell ref="E131:F131"/>
    <mergeCell ref="E132:F132"/>
    <mergeCell ref="E123:F123"/>
    <mergeCell ref="E124:F124"/>
    <mergeCell ref="E125:F125"/>
    <mergeCell ref="E126:F126"/>
    <mergeCell ref="E127:F127"/>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9:F189"/>
    <mergeCell ref="E190:F190"/>
    <mergeCell ref="E191:F191"/>
    <mergeCell ref="E192:F192"/>
    <mergeCell ref="E183:F183"/>
    <mergeCell ref="E184:F184"/>
    <mergeCell ref="E185:F185"/>
    <mergeCell ref="E186:F186"/>
    <mergeCell ref="E187:F187"/>
    <mergeCell ref="E188:F188"/>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27:F27"/>
    <mergeCell ref="E28:F28"/>
    <mergeCell ref="E29:F29"/>
    <mergeCell ref="E30:F30"/>
    <mergeCell ref="E31:F31"/>
    <mergeCell ref="E32:F32"/>
    <mergeCell ref="E33:F33"/>
    <mergeCell ref="E34:F34"/>
    <mergeCell ref="E35:F35"/>
  </mergeCells>
  <phoneticPr fontId="0" type="noConversion"/>
  <conditionalFormatting sqref="B192">
    <cfRule type="cellIs" dxfId="17" priority="18"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2 B180 B168 B156 B144 B132 B120 B108 B96 B84 B72 B60 B48 B36 B24 B12">
      <formula1>0</formula1>
      <formula2>60</formula2>
    </dataValidation>
    <dataValidation type="list" allowBlank="1" showInputMessage="1" showErrorMessage="1" sqref="A184:A191 A172:A179 A160:A167 A148:A155 A136:A143 A124:A131 A112:A119 A100:A107 A88:A95 A76:A83 A64:A71 A52:A59 A40:A47 A28:A35 A16:A23 A4:A11">
      <formula1>ListeTaches</formula1>
    </dataValidation>
  </dataValidations>
  <hyperlinks>
    <hyperlink ref="E148" r:id="rId1"/>
    <hyperlink ref="E161" r:id="rId2"/>
    <hyperlink ref="E150" r:id="rId3"/>
    <hyperlink ref="E136" r:id="rId4"/>
    <hyperlink ref="E112" r:id="rId5"/>
    <hyperlink ref="E114" r:id="rId6"/>
    <hyperlink ref="E100" r:id="rId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90"/>
    </row>
    <row r="13" spans="1:61" ht="18.75" thickBot="1" x14ac:dyDescent="0.3">
      <c r="A13" s="206" t="s">
        <v>13</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90"/>
    </row>
    <row r="14" spans="1:61" ht="15.75" thickBot="1" x14ac:dyDescent="0.35">
      <c r="A14" s="103"/>
      <c r="B14" s="104"/>
      <c r="C14" s="104"/>
      <c r="D14" s="104"/>
      <c r="E14" s="209" t="s">
        <v>33</v>
      </c>
      <c r="F14" s="209"/>
      <c r="G14" s="209"/>
      <c r="H14" s="209"/>
      <c r="I14" s="104"/>
      <c r="J14" s="104"/>
      <c r="K14" s="210" t="s">
        <v>23</v>
      </c>
      <c r="L14" s="210"/>
      <c r="M14" s="210"/>
      <c r="N14" s="210"/>
      <c r="O14" s="129"/>
      <c r="P14" s="129"/>
      <c r="Q14" s="209" t="s">
        <v>34</v>
      </c>
      <c r="R14" s="209"/>
      <c r="S14" s="209"/>
      <c r="T14" s="209"/>
      <c r="U14" s="104"/>
      <c r="V14" s="104"/>
      <c r="W14" s="210" t="s">
        <v>24</v>
      </c>
      <c r="X14" s="210"/>
      <c r="Y14" s="210"/>
      <c r="Z14" s="210"/>
      <c r="AA14" s="129"/>
      <c r="AB14" s="129"/>
      <c r="AC14" s="209" t="s">
        <v>35</v>
      </c>
      <c r="AD14" s="209"/>
      <c r="AE14" s="209"/>
      <c r="AF14" s="209"/>
      <c r="AG14" s="104"/>
      <c r="AH14" s="104"/>
      <c r="AI14" s="210" t="s">
        <v>25</v>
      </c>
      <c r="AJ14" s="210"/>
      <c r="AK14" s="210"/>
      <c r="AL14" s="210"/>
      <c r="AM14" s="129"/>
      <c r="AN14" s="129"/>
      <c r="AO14" s="209" t="s">
        <v>36</v>
      </c>
      <c r="AP14" s="209"/>
      <c r="AQ14" s="209"/>
      <c r="AR14" s="209"/>
      <c r="AS14" s="104"/>
      <c r="AT14" s="104"/>
      <c r="AU14" s="210" t="s">
        <v>26</v>
      </c>
      <c r="AV14" s="210"/>
      <c r="AW14" s="210"/>
      <c r="AX14" s="210"/>
      <c r="AY14" s="129"/>
      <c r="AZ14" s="129"/>
      <c r="BA14" s="209" t="s">
        <v>37</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5" t="s">
        <v>15</v>
      </c>
      <c r="F2" s="236"/>
      <c r="G2" s="46"/>
    </row>
    <row r="3" spans="1:7" s="52" customFormat="1" x14ac:dyDescent="0.3">
      <c r="A3" s="48"/>
      <c r="B3" s="49"/>
      <c r="C3" s="152" t="str">
        <f xml:space="preserve"> IF(B3="","",setValueToTime(B3))</f>
        <v/>
      </c>
      <c r="D3" s="50"/>
      <c r="E3" s="237"/>
      <c r="F3" s="238"/>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1"/>
      <c r="F10" s="242"/>
      <c r="G10" s="51"/>
    </row>
    <row r="11" spans="1:7" s="52" customFormat="1" ht="15" thickBot="1" x14ac:dyDescent="0.35">
      <c r="A11" s="111" t="s">
        <v>28</v>
      </c>
      <c r="B11" s="84">
        <f>SUM(B3:B10)</f>
        <v>0</v>
      </c>
      <c r="C11" s="111" t="str">
        <f xml:space="preserve"> setValueToTime(B11)</f>
        <v>0h</v>
      </c>
      <c r="D11" s="120"/>
      <c r="E11" s="239"/>
      <c r="F11" s="240"/>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8" t="s">
        <v>15</v>
      </c>
      <c r="F2" s="249"/>
      <c r="G2" s="46"/>
    </row>
    <row r="3" spans="1:7" s="52" customFormat="1" x14ac:dyDescent="0.3">
      <c r="A3" s="48"/>
      <c r="B3" s="49"/>
      <c r="C3" s="152" t="str">
        <f xml:space="preserve"> IF(B3="","",setValueToTime(B3))</f>
        <v/>
      </c>
      <c r="D3" s="50"/>
      <c r="E3" s="237"/>
      <c r="F3" s="238"/>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1"/>
      <c r="F10" s="242"/>
      <c r="G10" s="51"/>
    </row>
    <row r="11" spans="1:7" s="52" customFormat="1" ht="15" thickBot="1" x14ac:dyDescent="0.35">
      <c r="A11" s="162" t="s">
        <v>28</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2021-05-12T14:33:53Z</dcterms:modified>
</cp:coreProperties>
</file>