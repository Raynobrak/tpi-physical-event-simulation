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charbonnier\Desktop\tpi\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17" i="12"/>
  <c r="E95" i="1"/>
  <c r="C5" i="12"/>
  <c r="C4" i="12"/>
  <c r="C12" i="12"/>
  <c r="C16" i="12"/>
  <c r="C24" i="12"/>
  <c r="C71" i="10"/>
  <c r="C155" i="10"/>
  <c r="B36" i="12" l="1"/>
  <c r="C35" i="12"/>
  <c r="C34" i="12"/>
  <c r="C33" i="12"/>
  <c r="C32"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36" i="12"/>
  <c r="C28" i="12"/>
  <c r="C29" i="12"/>
  <c r="C31" i="12"/>
  <c r="C30" i="12"/>
  <c r="C72" i="10"/>
  <c r="C65" i="10"/>
  <c r="C21" i="10"/>
  <c r="C15" i="10"/>
  <c r="C27" i="10"/>
  <c r="C41" i="10"/>
  <c r="C80" i="10"/>
  <c r="C135" i="10"/>
  <c r="C17" i="10"/>
  <c r="C118" i="10"/>
  <c r="C87" i="10"/>
  <c r="C66" i="10"/>
  <c r="C161" i="10"/>
  <c r="C47" i="10"/>
  <c r="C141" i="10"/>
  <c r="C23" i="10"/>
  <c r="C123" i="10"/>
  <c r="C10" i="10"/>
  <c r="C53" i="10"/>
  <c r="C93" i="10"/>
  <c r="C147" i="10"/>
  <c r="C59" i="10"/>
  <c r="C112" i="10"/>
  <c r="C117" i="10"/>
  <c r="C113" i="10"/>
  <c r="C34" i="10"/>
  <c r="C29" i="10"/>
  <c r="C16" i="10"/>
  <c r="C101" i="10"/>
  <c r="C162" i="10"/>
  <c r="C107" i="10"/>
  <c r="C129" i="10"/>
  <c r="C22" i="10"/>
  <c r="C160" i="10"/>
  <c r="C28" i="10"/>
  <c r="C73" i="10"/>
  <c r="C33" i="10"/>
  <c r="C35" i="10"/>
  <c r="C9" i="10"/>
  <c r="C11" i="10"/>
  <c r="C4" i="10"/>
  <c r="C5" i="10"/>
  <c r="C40" i="10"/>
  <c r="C39" i="10"/>
  <c r="C42" i="10"/>
  <c r="C48" i="10"/>
  <c r="C46" i="10"/>
  <c r="C54" i="10"/>
  <c r="C52" i="10"/>
  <c r="C58" i="10"/>
  <c r="C60" i="10"/>
  <c r="C67" i="10"/>
  <c r="C64" i="10"/>
  <c r="C74" i="10"/>
  <c r="C100" i="10"/>
  <c r="C86" i="10"/>
  <c r="C79" i="10"/>
  <c r="C81" i="10"/>
  <c r="C78" i="10"/>
  <c r="C88" i="10"/>
  <c r="C85" i="10"/>
  <c r="C92" i="10"/>
  <c r="C94" i="10"/>
  <c r="C99" i="10"/>
  <c r="C98" i="10"/>
  <c r="C102" i="10"/>
  <c r="C106" i="10"/>
  <c r="C108" i="10"/>
  <c r="C124" i="10"/>
  <c r="C122" i="10"/>
  <c r="C130" i="10"/>
  <c r="C128" i="10"/>
  <c r="C134" i="10"/>
  <c r="C136" i="10"/>
  <c r="C140" i="10"/>
  <c r="C142" i="10"/>
  <c r="C148" i="10"/>
  <c r="C146" i="10"/>
  <c r="C154" i="10"/>
  <c r="C153" i="10"/>
  <c r="C167" i="10"/>
  <c r="C166" i="10"/>
  <c r="C156" i="10"/>
  <c r="C152" i="10"/>
  <c r="C168"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<sst xmlns="http://schemas.openxmlformats.org/spreadsheetml/2006/main" count="874" uniqueCount="167">
  <si>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</si>
  <si>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</si>
  <si>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</si>
  <si>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</si>
  <si>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</si>
  <si>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</si>
  <si>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</si>
  <si>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</si>
  <si>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</si>
  <si>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</si>
  <si>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</si>
  <si>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</si>
  <si>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</si>
  <si>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</si>
  <si>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</si>
  <si>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</si>
  <si>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</si>
  <si>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</si>
  <si>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</si>
  <si>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</si>
  <si>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</si>
  <si>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</si>
  <si>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</si>
  <si>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</si>
  <si>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</si>
  <si>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</si>
  <si>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</si>
  <si>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</si>
  <si>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</si>
  <si>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</si>
  <si>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</si>
  <si>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</si>
  <si>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</si>
  <si>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</si>
  <si>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</si>
  <si>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</si>
  <si>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</si>
  <si>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</si>
  <si>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</si>
  <si>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</si>
  <si>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</si>
  <si>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</si>
  <si>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</si>
  <si>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</si>
  <si>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</si>
  <si>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</si>
  <si>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</si>
  <si>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</si>
  <si>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</si>
  <si>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</si>
  <si>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</si>
  <si>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</si>
  <si>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</si>
  <si>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</si>
  <si>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</si>
  <si>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</si>
  <si>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</si>
  <si>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</si>
  <si>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</si>
  <si>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</si>
  <si>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</si>
  <si>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</si>
  <si>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</si>
  <si>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</si>
  <si>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</si>
  <si>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</si>
  <si>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</si>
  <si>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</si>
  <si>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</si>
  <si>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</si>
  <si>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</si>
  <si>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</si>
  <si>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</si>
  <si>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</si>
  <si>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</si>
  <si>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</si>
  <si>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</si>
  <si>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</si>
  <si>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</si>
  <si>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</si>
  <si>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</si>
  <si>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</si>
  <si>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</si>
  <si>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</si>
  <si>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</si>
  <si>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</si>
  <si>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</si>
  <si>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</si>
  <si>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</si>
  <si>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</si>
  <si>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</si>
  <si>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</si>
  <si>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</si>
  <si>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</si>
  <si>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</si>
  <si>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</si>
  <si>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</si>
  <si>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</si>
  <si>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</si>
  <si>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</si>
  <si>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</si>
  <si>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</si>
  <si>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</si>
  <si>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</si>
  <si>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</si>
  <si>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</si>
  <si>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</si>
  <si>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</si>
  <si>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</si>
  <si>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</si>
  <si>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</si>
  <si>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</si>
  <si>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</si>
  <si>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</si>
  <si>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</si>
  <si>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</si>
  <si>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</si>
  <si>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</si>
  <si>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</si>
  <si>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</si>
  <si>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</si>
  <si>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</si>
  <si>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</si>
  <si>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</si>
  <si>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</si>
  <si>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</si>
  <si>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</si>
  <si>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</si>
  <si>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</si>
  <si>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</si>
  <si>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</si>
  <si>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</si>
  <si>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</si>
  <si>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</si>
  <si>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</si>
  <si>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</si>
  <si>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</si>
  <si>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</si>
  <si>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</si>
  <si>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</si>
  <si>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</si>
  <si>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</si>
  <si>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</si>
  <si>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</si>
  <si>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</si>
  <si>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</si>
  <si>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</si>
  <si>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</si>
  <si>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</si>
  <si>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</si>
  <si>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</si>
  <si>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</si>
  <si>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</si>
  <si>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</si>
  <si>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</si>
  <si>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</si>
  <si>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</si>
  <si>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</si>
  <si>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88h</t>
  </si>
  <si>
    <t>0h45min</t>
  </si>
  <si>
    <t>- 87h15min</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</si>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</sst>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32" xfId="0" applyFont="1" applyFill="1" applyBorder="1" applyAlignment="1" applyProtection="1">
      <alignment horizontal="center"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cellXfs>
  <cellStyles count="2">
    <cellStyle name="Lien hypertexte" xfId="1" builtinId="8"/>
    <cellStyle name="Normal" xfId="0" builtinId="0"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6.75</c:v>
              </c:pt>
              <c:pt idx="1">
                <c:v>0</c:v>
              </c:pt>
              <c:pt idx="2">
                <c:v>2.0799999237060547</c:v>
              </c:pt>
              <c:pt idx="3">
                <c:v>6.5799999237060547</c:v>
              </c:pt>
              <c:pt idx="4">
                <c:v>0</c:v>
              </c:pt>
              <c:pt idx="5">
                <c:v>2.0799999237060547</c:v>
              </c:pt>
              <c:pt idx="6">
                <c:v>5.8299999237060547</c:v>
              </c:pt>
              <c:pt idx="7">
                <c:v>0.5</c:v>
              </c:pt>
              <c:pt idx="8">
                <c:v>2.9200000762939453</c:v>
              </c:pt>
              <c:pt idx="9">
                <c:v>8.5</c:v>
              </c:pt>
              <c:pt idx="10">
                <c:v>3.6700000762939453</c:v>
              </c:pt>
              <c:pt idx="11">
                <c:v>2.9200000762939453</c:v>
              </c:pt>
              <c:pt idx="12">
                <c:v>0.75</c:v>
              </c:pt>
              <c:pt idx="13">
                <c:v>2.9200000762939453</c:v>
              </c:pt>
              <c:pt idx="14">
                <c:v>1.1699999570846558</c:v>
              </c:pt>
              <c:pt idx="15">
                <c:v>2</c:v>
              </c:pt>
              <c:pt idx="16">
                <c:v>0.5</c:v>
              </c:pt>
              <c:pt idx="17">
                <c:v>2</c:v>
              </c:pt>
              <c:pt idx="18">
                <c:v>2.9200000762939453</c:v>
              </c:pt>
              <c:pt idx="19">
                <c:v>2.5</c:v>
              </c:pt>
              <c:pt idx="20">
                <c:v>0.5</c:v>
              </c:pt>
              <c:pt idx="21">
                <c:v>2.4200000762939453</c:v>
              </c:pt>
              <c:pt idx="22">
                <c:v>1.6699999570846558</c:v>
              </c:pt>
              <c:pt idx="23">
                <c:v>5.4200000762939453</c:v>
              </c:pt>
              <c:pt idx="24">
                <c:v>1.25</c:v>
              </c:pt>
              <c:pt idx="25">
                <c:v>4.1700000762939453</c:v>
              </c:pt>
              <c:pt idx="26">
                <c:v>1.6699999570846558</c:v>
              </c:pt>
              <c:pt idx="27">
                <c:v>2.9200000762939453</c:v>
              </c:pt>
              <c:pt idx="28">
                <c:v>2.9200000762939453</c:v>
              </c:pt>
              <c:pt idx="29">
                <c:v>4.8299999237060547</c:v>
              </c:pt>
              <c:pt idx="30">
                <c:v>0</c:v>
              </c:pt>
              <c:pt idx="31">
                <c:v>3.6700000762939453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0</c:v>
              </c:pt>
              <c:pt idx="1">
                <c:v>0.75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810749" y="197069"/>
          <a:ext cx="1333501"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7" t="s">
        <v>31</v>
      </c>
      <c r="C35" s="167"/>
      <c r="D35" s="167"/>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8" t="s">
        <v>32</v>
      </c>
      <c r="C37" s="168"/>
      <c r="D37" s="168"/>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234"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A11" zoomScale="70" zoomScaleNormal="70" zoomScaleSheetLayoutView="43" workbookViewId="0">
      <selection activeCell="F93" sqref="F93:BOB93"/>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177" t="s">
        <v>30</v>
      </c>
      <c r="D1" s="177"/>
      <c r="E1" s="17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178"/>
      <c r="D7" s="178"/>
      <c r="E7" s="17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182" t="str">
        <f>E96</f>
        <v>90h</v>
      </c>
      <c r="H9" s="182"/>
      <c r="I9" s="182"/>
      <c r="J9" s="182"/>
      <c r="K9" s="182"/>
      <c r="L9" s="182"/>
      <c r="M9" s="182"/>
      <c r="N9" s="182"/>
      <c r="O9" s="182"/>
      <c r="P9" s="182"/>
      <c r="Q9" s="182"/>
      <c r="R9" s="182"/>
      <c r="S9" s="182"/>
      <c r="T9" s="182"/>
      <c r="U9" s="182"/>
      <c r="V9" s="119"/>
      <c r="W9" s="191" t="s">
        <v>22</v>
      </c>
      <c r="X9" s="191"/>
      <c r="Y9" s="191"/>
      <c r="Z9" s="191"/>
      <c r="AA9" s="191"/>
      <c r="AB9" s="191"/>
      <c r="AC9" s="191"/>
      <c r="AD9" s="191"/>
      <c r="AE9" s="191"/>
      <c r="AF9" s="191"/>
      <c r="AG9" s="191"/>
      <c r="AH9" s="182" t="str">
        <f>E98</f>
        <v>0h45min</v>
      </c>
      <c r="AI9" s="182"/>
      <c r="AJ9" s="182"/>
      <c r="AK9" s="182"/>
      <c r="AL9" s="182"/>
      <c r="AM9" s="182"/>
      <c r="AN9" s="182"/>
      <c r="AO9" s="182"/>
      <c r="AP9" s="182"/>
      <c r="AQ9" s="182"/>
      <c r="AR9" s="182"/>
      <c r="AS9" s="182"/>
      <c r="AT9" s="182"/>
      <c r="AU9" s="182"/>
      <c r="AV9" s="182"/>
      <c r="AW9" s="18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92"/>
      <c r="CR10" s="169"/>
      <c r="CS10" s="169"/>
      <c r="CT10" s="169"/>
      <c r="CU10" s="169"/>
      <c r="CV10" s="169"/>
      <c r="CW10" s="169"/>
      <c r="CX10" s="169"/>
      <c r="CY10" s="169"/>
      <c r="CZ10" s="169"/>
      <c r="DA10" s="169"/>
      <c r="DB10" s="169"/>
      <c r="DC10" s="169"/>
      <c r="DD10" s="169"/>
      <c r="DE10" s="169"/>
      <c r="DF10" s="169"/>
      <c r="DG10" s="169"/>
      <c r="DH10" s="169"/>
      <c r="DI10" s="169"/>
      <c r="DJ10" s="169"/>
      <c r="DK10" s="169"/>
      <c r="DL10" s="169"/>
      <c r="DM10" s="169"/>
      <c r="DN10" s="169"/>
      <c r="DO10" s="169"/>
      <c r="DP10" s="169"/>
      <c r="DQ10" s="169"/>
      <c r="DR10" s="169"/>
      <c r="DS10" s="169"/>
      <c r="DT10" s="169"/>
      <c r="DU10" s="169"/>
      <c r="DV10" s="169"/>
      <c r="DW10" s="169"/>
      <c r="DX10" s="169"/>
      <c r="DY10" s="169"/>
      <c r="DZ10" s="169"/>
      <c r="EA10" s="169"/>
      <c r="EB10" s="169"/>
      <c r="EC10" s="169"/>
      <c r="ED10" s="169"/>
      <c r="EE10" s="169"/>
      <c r="EF10" s="169"/>
      <c r="EG10" s="169"/>
      <c r="EH10" s="169"/>
      <c r="EI10" s="169"/>
      <c r="EJ10" s="169"/>
      <c r="EK10" s="169"/>
      <c r="EL10" s="169"/>
      <c r="EM10" s="169"/>
      <c r="EN10" s="169"/>
      <c r="EO10" s="169"/>
      <c r="EP10" s="169"/>
      <c r="EQ10" s="169"/>
      <c r="ER10" s="169"/>
      <c r="ES10" s="169"/>
      <c r="ET10" s="169"/>
      <c r="EU10" s="169"/>
      <c r="EV10" s="169"/>
      <c r="EW10" s="169"/>
      <c r="EX10" s="169"/>
      <c r="EY10" s="169"/>
      <c r="EZ10" s="169"/>
      <c r="FA10" s="169"/>
      <c r="FB10" s="169"/>
      <c r="FC10" s="169"/>
      <c r="FD10" s="169"/>
      <c r="FE10" s="169"/>
      <c r="FF10" s="169"/>
      <c r="FG10" s="169"/>
      <c r="FH10" s="169"/>
      <c r="FI10" s="169"/>
      <c r="FJ10" s="169"/>
      <c r="FK10" s="169"/>
      <c r="FL10" s="169"/>
      <c r="FM10" s="169"/>
      <c r="FN10" s="169"/>
      <c r="FO10" s="169"/>
      <c r="FP10" s="169"/>
      <c r="FQ10" s="169"/>
      <c r="FR10" s="169"/>
      <c r="FS10" s="169"/>
      <c r="FT10" s="169"/>
      <c r="FU10" s="169"/>
      <c r="FV10" s="169"/>
      <c r="FW10" s="169"/>
      <c r="FX10" s="169"/>
      <c r="FY10" s="169"/>
      <c r="FZ10" s="169"/>
      <c r="GA10" s="169"/>
      <c r="GB10" s="169"/>
      <c r="GC10" s="169"/>
      <c r="GD10" s="169"/>
      <c r="GE10" s="169"/>
      <c r="GF10" s="169"/>
      <c r="GG10" s="169"/>
      <c r="GH10" s="169"/>
      <c r="GI10" s="169"/>
      <c r="GJ10" s="169"/>
      <c r="GK10" s="169"/>
      <c r="GL10" s="169"/>
      <c r="GM10" s="169"/>
      <c r="GN10" s="169"/>
      <c r="GO10" s="169"/>
      <c r="GP10" s="169"/>
      <c r="GQ10" s="169"/>
      <c r="GR10" s="169"/>
      <c r="GS10" s="169"/>
      <c r="GT10" s="169"/>
      <c r="GU10" s="169"/>
      <c r="GV10" s="169"/>
      <c r="GW10" s="169"/>
      <c r="GX10" s="169"/>
      <c r="GY10" s="169"/>
      <c r="GZ10" s="169"/>
      <c r="HA10" s="169"/>
      <c r="HB10" s="169"/>
      <c r="HC10" s="169"/>
      <c r="HD10" s="169"/>
      <c r="HE10" s="169"/>
      <c r="HF10" s="169"/>
      <c r="HG10" s="169"/>
      <c r="HH10" s="169"/>
      <c r="HI10" s="169"/>
      <c r="HJ10" s="169"/>
      <c r="HK10" s="169"/>
      <c r="HL10" s="169"/>
      <c r="HM10" s="169"/>
      <c r="HN10" s="169"/>
      <c r="HO10" s="169"/>
      <c r="HP10" s="169"/>
      <c r="HQ10" s="169"/>
      <c r="HR10" s="169"/>
      <c r="HS10" s="169"/>
      <c r="HT10" s="169"/>
      <c r="HU10" s="169"/>
      <c r="HV10" s="169"/>
      <c r="HW10" s="169"/>
      <c r="HX10" s="169"/>
      <c r="HY10" s="169"/>
      <c r="HZ10" s="169"/>
      <c r="IA10" s="169"/>
      <c r="IB10" s="169"/>
      <c r="IC10" s="169"/>
      <c r="ID10" s="169"/>
      <c r="IE10" s="169"/>
      <c r="IF10" s="169"/>
      <c r="IG10" s="169"/>
      <c r="IH10" s="169"/>
      <c r="II10" s="169"/>
      <c r="IJ10" s="169"/>
      <c r="IK10" s="169"/>
      <c r="IL10" s="169"/>
      <c r="IM10" s="169"/>
      <c r="IN10" s="169"/>
      <c r="IO10" s="169"/>
      <c r="IP10" s="169"/>
      <c r="IQ10" s="169"/>
      <c r="IR10" s="169"/>
      <c r="IS10" s="169"/>
      <c r="IT10" s="169"/>
      <c r="IU10" s="169"/>
      <c r="IV10" s="169"/>
      <c r="IW10" s="169"/>
      <c r="IX10" s="169"/>
      <c r="IY10" s="169"/>
      <c r="IZ10" s="169"/>
      <c r="JA10" s="169"/>
      <c r="JB10" s="169"/>
      <c r="JC10" s="169"/>
      <c r="JD10" s="169"/>
      <c r="JE10" s="169"/>
      <c r="JF10" s="169"/>
      <c r="JG10" s="169"/>
      <c r="JH10" s="169"/>
      <c r="JI10" s="169"/>
      <c r="JJ10" s="169"/>
      <c r="JK10" s="169"/>
      <c r="JL10" s="169"/>
      <c r="JM10" s="169"/>
      <c r="JN10" s="169"/>
      <c r="JO10" s="169"/>
      <c r="JP10" s="169"/>
      <c r="JQ10" s="169"/>
      <c r="JR10" s="169"/>
      <c r="JS10" s="169"/>
      <c r="JT10" s="169"/>
      <c r="JU10" s="169"/>
      <c r="JV10" s="169"/>
      <c r="JW10" s="169"/>
      <c r="JX10" s="169"/>
      <c r="JY10" s="169"/>
      <c r="JZ10" s="169"/>
      <c r="KA10" s="169"/>
      <c r="KB10" s="169"/>
      <c r="KC10" s="169"/>
      <c r="KD10" s="169"/>
      <c r="KE10" s="169"/>
      <c r="KF10" s="169"/>
      <c r="KG10" s="169"/>
      <c r="KH10" s="169"/>
      <c r="KI10" s="169"/>
      <c r="KJ10" s="169"/>
      <c r="KK10" s="169"/>
      <c r="KL10" s="169"/>
      <c r="KM10" s="169"/>
      <c r="KN10" s="169"/>
      <c r="KO10" s="169"/>
      <c r="KP10" s="169"/>
      <c r="KQ10" s="169"/>
      <c r="KR10" s="169"/>
      <c r="KS10" s="169"/>
      <c r="KT10" s="169"/>
      <c r="KU10" s="169"/>
      <c r="KV10" s="169"/>
      <c r="KW10" s="169"/>
      <c r="KX10" s="169"/>
      <c r="KY10" s="169"/>
      <c r="KZ10" s="169"/>
      <c r="LA10" s="169"/>
      <c r="LB10" s="169"/>
      <c r="LC10" s="169"/>
      <c r="LD10" s="169"/>
      <c r="LE10" s="169"/>
      <c r="LF10" s="169"/>
      <c r="LG10" s="169"/>
      <c r="LH10" s="169"/>
      <c r="LI10" s="169"/>
      <c r="LJ10" s="169"/>
      <c r="LK10" s="169"/>
      <c r="LL10" s="169"/>
      <c r="LM10" s="169"/>
      <c r="LN10" s="169"/>
      <c r="LO10" s="169"/>
      <c r="LP10" s="169"/>
      <c r="LQ10" s="169"/>
      <c r="LR10" s="169"/>
      <c r="LS10" s="169"/>
      <c r="LT10" s="169"/>
      <c r="LU10" s="169"/>
      <c r="LV10" s="169"/>
      <c r="LW10" s="169"/>
      <c r="LX10" s="169"/>
      <c r="LY10" s="169"/>
      <c r="LZ10" s="169"/>
      <c r="MA10" s="169"/>
      <c r="MB10" s="169"/>
      <c r="MC10" s="169"/>
      <c r="MD10" s="169"/>
      <c r="ME10" s="169"/>
      <c r="MF10" s="169"/>
      <c r="MG10" s="169"/>
      <c r="MH10" s="169"/>
      <c r="MI10" s="169"/>
      <c r="MJ10" s="169"/>
      <c r="MK10" s="169"/>
      <c r="ML10" s="169"/>
      <c r="MM10" s="169"/>
      <c r="MN10" s="169"/>
      <c r="MO10" s="169"/>
      <c r="MP10" s="169"/>
      <c r="MQ10" s="169"/>
      <c r="MR10" s="169"/>
      <c r="MS10" s="169"/>
      <c r="MT10" s="169"/>
      <c r="MU10" s="169"/>
      <c r="MV10" s="169"/>
      <c r="MW10" s="169"/>
      <c r="MX10" s="169"/>
      <c r="MY10" s="169"/>
      <c r="MZ10" s="169"/>
      <c r="NA10" s="169"/>
      <c r="NB10" s="169"/>
      <c r="NC10" s="169"/>
      <c r="ND10" s="169"/>
      <c r="NE10" s="169"/>
      <c r="NF10" s="169"/>
      <c r="NG10" s="169"/>
      <c r="NH10" s="169"/>
      <c r="NI10" s="169"/>
      <c r="NJ10" s="169"/>
      <c r="NK10" s="169"/>
      <c r="NL10" s="169"/>
      <c r="NM10" s="169"/>
      <c r="NN10" s="169"/>
      <c r="NO10" s="169"/>
      <c r="NP10" s="169"/>
      <c r="NQ10" s="169"/>
      <c r="NR10" s="169"/>
      <c r="NS10" s="169"/>
      <c r="NT10" s="169"/>
      <c r="NU10" s="169"/>
      <c r="NV10" s="169"/>
      <c r="NW10" s="169"/>
      <c r="NX10" s="169"/>
      <c r="NY10" s="169"/>
      <c r="NZ10" s="169"/>
      <c r="OA10" s="169"/>
      <c r="OB10" s="169"/>
      <c r="OC10" s="169"/>
      <c r="OD10" s="169"/>
      <c r="OE10" s="169"/>
      <c r="OF10" s="169"/>
      <c r="OG10" s="169"/>
      <c r="OH10" s="169"/>
      <c r="OI10" s="169"/>
      <c r="OJ10" s="169"/>
      <c r="OK10" s="169"/>
      <c r="OL10" s="169"/>
      <c r="OM10" s="169"/>
      <c r="ON10" s="169"/>
      <c r="OO10" s="169"/>
      <c r="OP10" s="169"/>
      <c r="OQ10" s="169"/>
      <c r="OR10" s="169"/>
      <c r="OS10" s="169"/>
      <c r="OT10" s="169"/>
      <c r="OU10" s="169"/>
      <c r="OV10" s="169"/>
      <c r="OW10" s="169"/>
      <c r="OX10" s="169"/>
      <c r="OY10" s="169"/>
      <c r="OZ10" s="169"/>
      <c r="PA10" s="169"/>
      <c r="PB10" s="169"/>
      <c r="PC10" s="169"/>
      <c r="PD10" s="169"/>
      <c r="PE10" s="169"/>
      <c r="PF10" s="169"/>
      <c r="PG10" s="169"/>
      <c r="PH10" s="169"/>
      <c r="PI10" s="169"/>
      <c r="PJ10" s="169"/>
      <c r="PK10" s="169"/>
      <c r="PL10" s="169"/>
      <c r="PM10" s="169"/>
      <c r="PN10" s="169"/>
      <c r="PO10" s="169"/>
      <c r="PP10" s="169"/>
      <c r="PQ10" s="169"/>
      <c r="PR10" s="169"/>
      <c r="PS10" s="169"/>
      <c r="PT10" s="169"/>
      <c r="PU10" s="169"/>
      <c r="PV10" s="169"/>
      <c r="PW10" s="169"/>
      <c r="PX10" s="169"/>
      <c r="PY10" s="169"/>
      <c r="PZ10" s="169"/>
      <c r="QA10" s="169"/>
      <c r="QB10" s="169"/>
      <c r="QC10" s="169"/>
      <c r="QD10" s="169"/>
      <c r="QE10" s="169"/>
      <c r="QF10" s="169"/>
      <c r="QG10" s="169"/>
      <c r="QH10" s="169"/>
      <c r="QI10" s="169"/>
      <c r="QJ10" s="169"/>
      <c r="QK10" s="169"/>
      <c r="QL10" s="169"/>
      <c r="QM10" s="169"/>
      <c r="QN10" s="169"/>
      <c r="QO10" s="169"/>
      <c r="QP10" s="169"/>
      <c r="QQ10" s="169"/>
      <c r="QR10" s="169"/>
      <c r="QS10" s="169"/>
      <c r="QT10" s="169"/>
      <c r="QU10" s="169"/>
      <c r="QV10" s="169"/>
      <c r="QW10" s="169"/>
      <c r="QX10" s="169"/>
      <c r="QY10" s="169"/>
      <c r="QZ10" s="169"/>
      <c r="RA10" s="169"/>
      <c r="RB10" s="169"/>
      <c r="RC10" s="169"/>
      <c r="RD10" s="169"/>
      <c r="RE10" s="169"/>
      <c r="RF10" s="169"/>
      <c r="RG10" s="169"/>
      <c r="RH10" s="169"/>
      <c r="RI10" s="169"/>
      <c r="RJ10" s="169"/>
      <c r="RK10" s="169"/>
      <c r="RL10" s="169"/>
      <c r="RM10" s="169"/>
      <c r="RN10" s="169"/>
      <c r="RO10" s="169"/>
      <c r="RP10" s="169"/>
      <c r="RQ10" s="169"/>
      <c r="RR10" s="169"/>
      <c r="RS10" s="169"/>
      <c r="RT10" s="169"/>
      <c r="RU10" s="169"/>
      <c r="RV10" s="169"/>
      <c r="RW10" s="169"/>
      <c r="RX10" s="169"/>
      <c r="RY10" s="169"/>
      <c r="RZ10" s="169"/>
      <c r="SA10" s="169"/>
      <c r="SB10" s="169"/>
      <c r="SC10" s="169"/>
      <c r="SD10" s="169"/>
      <c r="SE10" s="169"/>
      <c r="SF10" s="169"/>
      <c r="SG10" s="169"/>
      <c r="SH10" s="169"/>
      <c r="SI10" s="169"/>
      <c r="SJ10" s="169"/>
      <c r="SK10" s="169"/>
      <c r="SL10" s="169"/>
      <c r="SM10" s="169"/>
      <c r="SN10" s="169"/>
      <c r="SO10" s="169"/>
      <c r="SP10" s="169"/>
      <c r="SQ10" s="169"/>
      <c r="SR10" s="169"/>
      <c r="SS10" s="169"/>
      <c r="ST10" s="169"/>
      <c r="SU10" s="169"/>
      <c r="SV10" s="169"/>
      <c r="SW10" s="169"/>
      <c r="SX10" s="169"/>
      <c r="SY10" s="169"/>
      <c r="SZ10" s="169"/>
      <c r="TA10" s="169"/>
      <c r="TB10" s="169"/>
      <c r="TC10" s="169"/>
      <c r="TD10" s="169"/>
      <c r="TE10" s="169"/>
      <c r="TF10" s="169"/>
      <c r="TG10" s="169"/>
      <c r="TH10" s="169"/>
      <c r="TI10" s="169"/>
      <c r="TJ10" s="169"/>
      <c r="TK10" s="169"/>
      <c r="TL10" s="169"/>
      <c r="TM10" s="169"/>
      <c r="TN10" s="169"/>
      <c r="TO10" s="169"/>
      <c r="TP10" s="169"/>
      <c r="TQ10" s="169"/>
      <c r="TR10" s="169"/>
      <c r="TS10" s="169"/>
      <c r="TT10" s="169"/>
      <c r="TU10" s="169"/>
      <c r="TV10" s="169"/>
      <c r="TW10" s="169"/>
      <c r="TX10" s="169"/>
      <c r="TY10" s="169"/>
      <c r="TZ10" s="169"/>
      <c r="UA10" s="169"/>
      <c r="UB10" s="169"/>
      <c r="UC10" s="169"/>
      <c r="UD10" s="169"/>
      <c r="UE10" s="169"/>
      <c r="UF10" s="169"/>
      <c r="UG10" s="169"/>
      <c r="UH10" s="169"/>
      <c r="UI10" s="169"/>
      <c r="UJ10" s="169"/>
      <c r="UK10" s="169"/>
      <c r="UL10" s="169"/>
      <c r="UM10" s="169"/>
      <c r="UN10" s="169"/>
      <c r="UO10" s="169"/>
      <c r="UP10" s="169"/>
      <c r="UQ10" s="169"/>
      <c r="UR10" s="169"/>
      <c r="US10" s="169"/>
      <c r="UT10" s="169"/>
      <c r="UU10" s="169"/>
      <c r="UV10" s="169"/>
      <c r="UW10" s="169"/>
      <c r="UX10" s="169"/>
      <c r="UY10" s="169"/>
      <c r="UZ10" s="169"/>
      <c r="VA10" s="169"/>
      <c r="VB10" s="169"/>
      <c r="VC10" s="169"/>
      <c r="VD10" s="169"/>
      <c r="VE10" s="169"/>
      <c r="VF10" s="169"/>
      <c r="VG10" s="169"/>
      <c r="VH10" s="169"/>
      <c r="VI10" s="169"/>
      <c r="VJ10" s="169"/>
      <c r="VK10" s="169"/>
      <c r="VL10" s="169"/>
      <c r="VM10" s="169"/>
      <c r="VN10" s="169"/>
      <c r="VO10" s="169"/>
      <c r="VP10" s="169"/>
      <c r="VQ10" s="169"/>
      <c r="VR10" s="169"/>
      <c r="VS10" s="169"/>
      <c r="VT10" s="169"/>
      <c r="VU10" s="169"/>
      <c r="VV10" s="169"/>
      <c r="VW10" s="169"/>
      <c r="VX10" s="169"/>
      <c r="VY10" s="169"/>
      <c r="VZ10" s="169"/>
      <c r="WA10" s="169"/>
      <c r="WB10" s="169"/>
      <c r="WC10" s="169"/>
      <c r="WD10" s="169"/>
      <c r="WE10" s="169"/>
      <c r="WF10" s="169"/>
      <c r="WG10" s="169"/>
      <c r="WH10" s="169"/>
      <c r="WI10" s="169"/>
      <c r="WJ10" s="169"/>
      <c r="WK10" s="169"/>
      <c r="WL10" s="169"/>
      <c r="WM10" s="169"/>
      <c r="WN10" s="169"/>
      <c r="WO10" s="169"/>
      <c r="WP10" s="169"/>
      <c r="WQ10" s="169"/>
      <c r="WR10" s="169"/>
      <c r="WS10" s="169"/>
      <c r="WT10" s="169"/>
      <c r="WU10" s="169"/>
      <c r="WV10" s="169"/>
      <c r="WW10" s="169"/>
      <c r="WX10" s="169"/>
      <c r="WY10" s="169"/>
      <c r="WZ10" s="169"/>
      <c r="XA10" s="169"/>
      <c r="XB10" s="169"/>
      <c r="XC10" s="169"/>
      <c r="XD10" s="169"/>
      <c r="XE10" s="169"/>
      <c r="XF10" s="169"/>
      <c r="XG10" s="169"/>
      <c r="XH10" s="169"/>
      <c r="XI10" s="169"/>
      <c r="XJ10" s="169"/>
      <c r="XK10" s="169"/>
      <c r="XL10" s="169"/>
      <c r="XM10" s="169"/>
      <c r="XN10" s="169"/>
      <c r="XO10" s="169"/>
      <c r="XP10" s="169"/>
      <c r="XQ10" s="169"/>
      <c r="XR10" s="169"/>
      <c r="XS10" s="169"/>
      <c r="XT10" s="169"/>
      <c r="XU10" s="169"/>
      <c r="XV10" s="169"/>
      <c r="XW10" s="169"/>
      <c r="XX10" s="169"/>
      <c r="XY10" s="169"/>
      <c r="XZ10" s="169"/>
      <c r="YA10" s="169"/>
      <c r="YB10" s="169"/>
      <c r="YC10" s="169"/>
      <c r="YD10" s="169"/>
      <c r="YE10" s="169"/>
      <c r="YF10" s="169"/>
      <c r="YG10" s="169"/>
      <c r="YH10" s="169"/>
      <c r="YI10" s="169"/>
      <c r="YJ10" s="169"/>
      <c r="YK10" s="169"/>
      <c r="YL10" s="169"/>
      <c r="YM10" s="169"/>
      <c r="YN10" s="169"/>
      <c r="YO10" s="169"/>
      <c r="YP10" s="169"/>
      <c r="YQ10" s="169"/>
      <c r="YR10" s="169"/>
      <c r="YS10" s="169"/>
      <c r="YT10" s="169"/>
      <c r="YU10" s="169"/>
      <c r="YV10" s="169"/>
      <c r="YW10" s="169"/>
      <c r="YX10" s="169"/>
      <c r="YY10" s="169"/>
      <c r="YZ10" s="169"/>
      <c r="ZA10" s="169"/>
      <c r="ZB10" s="169"/>
      <c r="ZC10" s="169"/>
      <c r="ZD10" s="169"/>
      <c r="ZE10" s="169"/>
      <c r="ZF10" s="169"/>
      <c r="ZG10" s="169"/>
      <c r="ZH10" s="169"/>
      <c r="ZI10" s="169"/>
      <c r="ZJ10" s="169"/>
      <c r="ZK10" s="169"/>
      <c r="ZL10" s="169"/>
      <c r="ZM10" s="169"/>
      <c r="ZN10" s="169"/>
      <c r="ZO10" s="169"/>
      <c r="ZP10" s="169"/>
      <c r="ZQ10" s="169"/>
      <c r="ZR10" s="169"/>
      <c r="ZS10" s="169"/>
      <c r="ZT10" s="169"/>
      <c r="ZU10" s="169"/>
      <c r="ZV10" s="169"/>
      <c r="ZW10" s="169"/>
      <c r="ZX10" s="169"/>
      <c r="ZY10" s="169"/>
      <c r="ZZ10" s="169"/>
      <c r="AAA10" s="169"/>
      <c r="AAB10" s="169"/>
      <c r="AAC10" s="169"/>
      <c r="AAD10" s="169"/>
      <c r="AAE10" s="169"/>
      <c r="AAF10" s="169"/>
      <c r="AAG10" s="169"/>
      <c r="AAH10" s="169"/>
      <c r="AAI10" s="169"/>
      <c r="AAJ10" s="169"/>
      <c r="AAK10" s="169"/>
      <c r="AAL10" s="169"/>
      <c r="AAM10" s="169"/>
      <c r="AAN10" s="169"/>
      <c r="AAO10" s="169"/>
      <c r="AAP10" s="169"/>
      <c r="AAQ10" s="169"/>
      <c r="AAR10" s="169"/>
      <c r="AAS10" s="169"/>
      <c r="AAT10" s="169"/>
      <c r="AAU10" s="169"/>
      <c r="AAV10" s="169"/>
      <c r="AAW10" s="169"/>
      <c r="AAX10" s="169"/>
      <c r="AAY10" s="169"/>
      <c r="AAZ10" s="169"/>
      <c r="ABA10" s="169"/>
      <c r="ABB10" s="169"/>
      <c r="ABC10" s="169"/>
      <c r="ABD10" s="169"/>
      <c r="ABE10" s="169"/>
      <c r="ABF10" s="169"/>
      <c r="ABG10" s="169"/>
      <c r="ABH10" s="169"/>
      <c r="ABI10" s="169"/>
      <c r="ABJ10" s="169"/>
      <c r="ABK10" s="169"/>
      <c r="ABL10" s="169"/>
      <c r="ABM10" s="169"/>
      <c r="ABN10" s="169"/>
      <c r="ABO10" s="169"/>
      <c r="ABP10" s="169"/>
      <c r="ABQ10" s="169"/>
      <c r="ABR10" s="169"/>
      <c r="ABS10" s="169"/>
      <c r="ABT10" s="169"/>
      <c r="ABU10" s="169"/>
      <c r="ABV10" s="169"/>
      <c r="ABW10" s="169"/>
      <c r="ABX10" s="169"/>
      <c r="ABY10" s="169"/>
      <c r="ABZ10" s="169"/>
      <c r="ACA10" s="169"/>
      <c r="ACB10" s="169"/>
      <c r="ACC10" s="169"/>
      <c r="ACD10" s="169"/>
      <c r="ACE10" s="169"/>
      <c r="ACF10" s="169"/>
      <c r="ACG10" s="169"/>
      <c r="ACH10" s="169"/>
      <c r="ACI10" s="169"/>
      <c r="ACJ10" s="169"/>
      <c r="ACK10" s="169"/>
      <c r="ACL10" s="169"/>
      <c r="ACM10" s="169"/>
      <c r="ACN10" s="169"/>
      <c r="ACO10" s="169"/>
      <c r="ACP10" s="169"/>
      <c r="ACQ10" s="169"/>
      <c r="ACR10" s="169"/>
      <c r="ACS10" s="169"/>
      <c r="ACT10" s="169"/>
      <c r="ACU10" s="169"/>
      <c r="ACV10" s="169"/>
      <c r="ACW10" s="169"/>
      <c r="ACX10" s="169"/>
      <c r="ACY10" s="169"/>
      <c r="ACZ10" s="169"/>
      <c r="ADA10" s="169"/>
      <c r="ADB10" s="169"/>
      <c r="ADC10" s="169"/>
      <c r="ADD10" s="169"/>
      <c r="ADE10" s="169"/>
      <c r="ADF10" s="169"/>
      <c r="ADG10" s="169"/>
      <c r="ADH10" s="169"/>
      <c r="ADI10" s="169"/>
      <c r="ADJ10" s="169"/>
      <c r="ADK10" s="169"/>
      <c r="ADL10" s="169"/>
      <c r="ADM10" s="169"/>
      <c r="ADN10" s="169"/>
      <c r="ADO10" s="169"/>
      <c r="ADP10" s="169"/>
      <c r="ADQ10" s="169"/>
      <c r="ADR10" s="169"/>
      <c r="ADS10" s="169"/>
      <c r="ADT10" s="169"/>
      <c r="ADU10" s="169"/>
      <c r="ADV10" s="169"/>
      <c r="ADW10" s="169"/>
      <c r="ADX10" s="169"/>
      <c r="ADY10" s="169"/>
      <c r="ADZ10" s="169"/>
      <c r="AEA10" s="169"/>
      <c r="AEB10" s="169"/>
      <c r="AEC10" s="169"/>
      <c r="AED10" s="169"/>
      <c r="AEE10" s="169"/>
      <c r="AEF10" s="169"/>
      <c r="AEG10" s="169"/>
      <c r="AEH10" s="169"/>
      <c r="AEI10" s="169"/>
      <c r="AEJ10" s="169"/>
      <c r="AEK10" s="169"/>
      <c r="AEL10" s="169"/>
      <c r="AEM10" s="169"/>
      <c r="AEN10" s="169"/>
      <c r="AEO10" s="169"/>
      <c r="AEP10" s="169"/>
      <c r="AEQ10" s="169"/>
      <c r="AER10" s="169"/>
      <c r="AES10" s="169"/>
      <c r="AET10" s="169"/>
      <c r="AEU10" s="169"/>
      <c r="AEV10" s="169"/>
      <c r="AEW10" s="169"/>
      <c r="AEX10" s="169"/>
      <c r="AEY10" s="169"/>
      <c r="AEZ10" s="169"/>
      <c r="AFA10" s="169"/>
      <c r="AFB10" s="169"/>
      <c r="AFC10" s="169"/>
      <c r="AFD10" s="169"/>
      <c r="AFE10" s="169"/>
      <c r="AFF10" s="169"/>
      <c r="AFG10" s="169"/>
      <c r="AFH10" s="169"/>
      <c r="AFI10" s="169"/>
      <c r="AFJ10" s="169"/>
      <c r="AFK10" s="169"/>
      <c r="AFL10" s="169"/>
      <c r="AFM10" s="169"/>
      <c r="AFN10" s="169"/>
      <c r="AFO10" s="169"/>
      <c r="AFP10" s="169"/>
      <c r="AFQ10" s="169"/>
      <c r="AFR10" s="169"/>
      <c r="AFS10" s="169"/>
      <c r="AFT10" s="169"/>
      <c r="AFU10" s="169"/>
      <c r="AFV10" s="169"/>
      <c r="AFW10" s="169"/>
      <c r="AFX10" s="169"/>
      <c r="AFY10" s="169"/>
      <c r="AFZ10" s="169"/>
      <c r="AGA10" s="169"/>
      <c r="AGB10" s="169"/>
      <c r="AGC10" s="169"/>
      <c r="AGD10" s="169"/>
      <c r="AGE10" s="169"/>
      <c r="AGF10" s="169"/>
      <c r="AGG10" s="169"/>
      <c r="AGH10" s="169"/>
      <c r="AGI10" s="169"/>
      <c r="AGJ10" s="169"/>
      <c r="AGK10" s="169"/>
      <c r="AGL10" s="169"/>
      <c r="AGM10" s="169"/>
      <c r="AGN10" s="169"/>
      <c r="AGO10" s="169"/>
      <c r="AGP10" s="169"/>
      <c r="AGQ10" s="169"/>
      <c r="AGR10" s="169"/>
      <c r="AGS10" s="169"/>
      <c r="AGT10" s="169"/>
      <c r="AGU10" s="169"/>
      <c r="AGV10" s="169"/>
      <c r="AGW10" s="169"/>
      <c r="AGX10" s="169"/>
      <c r="AGY10" s="169"/>
      <c r="AGZ10" s="169"/>
      <c r="AHA10" s="169"/>
      <c r="AHB10" s="169"/>
      <c r="AHC10" s="169"/>
      <c r="AHD10" s="169"/>
      <c r="AHE10" s="169"/>
      <c r="AHF10" s="169"/>
      <c r="AHG10" s="169"/>
      <c r="AHH10" s="169"/>
      <c r="AHI10" s="169"/>
      <c r="AHJ10" s="169"/>
      <c r="AHK10" s="169"/>
      <c r="AHL10" s="169"/>
      <c r="AHM10" s="169"/>
      <c r="AHN10" s="169"/>
      <c r="AHO10" s="169"/>
      <c r="AHP10" s="169"/>
      <c r="AHQ10" s="169"/>
      <c r="AHR10" s="169"/>
      <c r="AHS10" s="169"/>
      <c r="AHT10" s="169"/>
      <c r="AHU10" s="169"/>
      <c r="AHV10" s="169"/>
      <c r="AHW10" s="169"/>
      <c r="AHX10" s="169"/>
      <c r="AHY10" s="169"/>
      <c r="AHZ10" s="169"/>
      <c r="AIA10" s="169"/>
      <c r="AIB10" s="169"/>
      <c r="AIC10" s="169"/>
      <c r="AID10" s="169"/>
      <c r="AIE10" s="169"/>
      <c r="AIF10" s="169"/>
      <c r="AIG10" s="169"/>
      <c r="AIH10" s="169"/>
      <c r="AII10" s="169"/>
      <c r="AIJ10" s="169"/>
      <c r="AIK10" s="169"/>
      <c r="AIL10" s="169"/>
      <c r="AIM10" s="169"/>
      <c r="AIN10" s="169"/>
      <c r="AIO10" s="169"/>
      <c r="AIP10" s="169"/>
      <c r="AIQ10" s="169"/>
      <c r="AIR10" s="169"/>
      <c r="AIS10" s="169"/>
      <c r="AIT10" s="169"/>
      <c r="AIU10" s="169"/>
      <c r="AIV10" s="169"/>
      <c r="AIW10" s="169"/>
      <c r="AIX10" s="169"/>
      <c r="AIY10" s="169"/>
      <c r="AIZ10" s="169"/>
      <c r="AJA10" s="169"/>
      <c r="AJB10" s="169"/>
      <c r="AJC10" s="169"/>
      <c r="AJD10" s="169"/>
      <c r="AJE10" s="169"/>
      <c r="AJF10" s="169"/>
      <c r="AJG10" s="169"/>
      <c r="AJH10" s="169"/>
      <c r="AJI10" s="169"/>
      <c r="AJJ10" s="169"/>
      <c r="AJK10" s="169"/>
      <c r="AJL10" s="169"/>
      <c r="AJM10" s="169"/>
      <c r="AJN10" s="169"/>
      <c r="AJO10" s="169"/>
      <c r="AJP10" s="169"/>
      <c r="AJQ10" s="169"/>
      <c r="AJR10" s="169"/>
      <c r="AJS10" s="169"/>
      <c r="AJT10" s="169"/>
      <c r="AJU10" s="169"/>
      <c r="AJV10" s="169"/>
      <c r="AJW10" s="169"/>
      <c r="AJX10" s="169"/>
      <c r="AJY10" s="169"/>
      <c r="AJZ10" s="169"/>
      <c r="AKA10" s="169"/>
      <c r="AKB10" s="169"/>
      <c r="AKC10" s="169"/>
      <c r="AKD10" s="169"/>
      <c r="AKE10" s="169"/>
      <c r="AKF10" s="169"/>
      <c r="AKG10" s="169"/>
      <c r="AKH10" s="169"/>
      <c r="AKI10" s="169"/>
      <c r="AKJ10" s="169"/>
      <c r="AKK10" s="169"/>
      <c r="AKL10" s="169"/>
      <c r="AKM10" s="169"/>
      <c r="AKN10" s="169"/>
      <c r="AKO10" s="169"/>
      <c r="AKP10" s="169"/>
      <c r="AKQ10" s="169"/>
      <c r="AKR10" s="169"/>
      <c r="AKS10" s="169"/>
      <c r="AKT10" s="169"/>
      <c r="AKU10" s="169"/>
      <c r="AKV10" s="169"/>
      <c r="AKW10" s="169"/>
      <c r="AKX10" s="169"/>
      <c r="AKY10" s="169"/>
      <c r="AKZ10" s="169"/>
      <c r="ALA10" s="169"/>
      <c r="ALB10" s="169"/>
      <c r="ALC10" s="169"/>
      <c r="ALD10" s="169"/>
      <c r="ALE10" s="169"/>
      <c r="ALF10" s="169"/>
      <c r="ALG10" s="169"/>
      <c r="ALH10" s="169"/>
      <c r="ALI10" s="169"/>
      <c r="ALJ10" s="169"/>
      <c r="ALK10" s="169"/>
      <c r="ALL10" s="169"/>
      <c r="ALM10" s="169"/>
      <c r="ALN10" s="169"/>
      <c r="ALO10" s="169"/>
      <c r="ALP10" s="169"/>
      <c r="ALQ10" s="169"/>
      <c r="ALR10" s="169"/>
      <c r="ALS10" s="169"/>
      <c r="ALT10" s="169"/>
      <c r="ALU10" s="169"/>
      <c r="ALV10" s="169"/>
      <c r="ALW10" s="169"/>
      <c r="ALX10" s="169"/>
      <c r="ALY10" s="169"/>
      <c r="ALZ10" s="169"/>
      <c r="AMA10" s="169"/>
      <c r="AMB10" s="169"/>
      <c r="AMC10" s="169"/>
      <c r="AMD10" s="169"/>
      <c r="AME10" s="169"/>
      <c r="AMF10" s="169"/>
      <c r="AMG10" s="169"/>
      <c r="AMH10" s="169"/>
      <c r="AMI10" s="169"/>
      <c r="AMJ10" s="169"/>
      <c r="AMK10" s="169"/>
      <c r="AML10" s="169"/>
      <c r="AMM10" s="169"/>
      <c r="AMN10" s="169"/>
      <c r="AMO10" s="169"/>
      <c r="AMP10" s="169"/>
      <c r="AMQ10" s="169"/>
      <c r="AMR10" s="169"/>
      <c r="AMS10" s="169"/>
      <c r="AMT10" s="169"/>
      <c r="AMU10" s="169"/>
      <c r="AMV10" s="169"/>
      <c r="AMW10" s="169"/>
      <c r="AMX10" s="169"/>
      <c r="AMY10" s="169"/>
      <c r="AMZ10" s="169"/>
      <c r="ANA10" s="169"/>
      <c r="ANB10" s="169"/>
      <c r="ANC10" s="169"/>
      <c r="AND10" s="169"/>
      <c r="ANE10" s="169"/>
      <c r="ANF10" s="169"/>
      <c r="ANG10" s="169"/>
      <c r="ANH10" s="169"/>
      <c r="ANI10" s="169"/>
      <c r="ANJ10" s="169"/>
      <c r="ANK10" s="169"/>
      <c r="ANL10" s="169"/>
      <c r="ANM10" s="169"/>
      <c r="ANN10" s="169"/>
      <c r="ANO10" s="169"/>
      <c r="ANP10" s="169"/>
      <c r="ANQ10" s="169"/>
      <c r="ANR10" s="169"/>
      <c r="ANS10" s="169"/>
      <c r="ANT10" s="169"/>
      <c r="ANU10" s="169"/>
      <c r="ANV10" s="169"/>
      <c r="ANW10" s="169"/>
      <c r="ANX10" s="169"/>
      <c r="ANY10" s="169"/>
      <c r="ANZ10" s="169"/>
      <c r="AOA10" s="169"/>
      <c r="AOB10" s="169"/>
      <c r="AOC10" s="169"/>
      <c r="AOD10" s="169"/>
      <c r="AOE10" s="169"/>
      <c r="AOF10" s="169"/>
      <c r="AOG10" s="169"/>
      <c r="AOH10" s="169"/>
      <c r="AOI10" s="169"/>
      <c r="AOJ10" s="169"/>
      <c r="AOK10" s="169"/>
      <c r="AOL10" s="169"/>
      <c r="AOM10" s="169"/>
      <c r="AON10" s="169"/>
      <c r="AOO10" s="169"/>
      <c r="AOP10" s="169"/>
      <c r="AOQ10" s="169"/>
      <c r="AOR10" s="169"/>
      <c r="AOS10" s="169"/>
      <c r="AOT10" s="169"/>
      <c r="AOU10" s="169"/>
      <c r="AOV10" s="169"/>
      <c r="AOW10" s="169"/>
      <c r="AOX10" s="169"/>
      <c r="AOY10" s="169"/>
      <c r="AOZ10" s="169"/>
      <c r="APA10" s="169"/>
      <c r="APB10" s="169"/>
      <c r="APC10" s="169"/>
      <c r="APD10" s="169"/>
      <c r="APE10" s="169"/>
      <c r="APF10" s="169"/>
      <c r="APG10" s="169"/>
      <c r="APH10" s="169"/>
      <c r="API10" s="169"/>
      <c r="APJ10" s="169"/>
      <c r="APK10" s="169"/>
      <c r="APL10" s="169"/>
      <c r="APM10" s="169"/>
      <c r="APN10" s="169"/>
      <c r="APO10" s="169"/>
      <c r="APP10" s="169"/>
      <c r="APQ10" s="169"/>
      <c r="APR10" s="169"/>
      <c r="APS10" s="169"/>
      <c r="APT10" s="169"/>
      <c r="APU10" s="169"/>
      <c r="APV10" s="169"/>
      <c r="APW10" s="169"/>
      <c r="APX10" s="169"/>
      <c r="APY10" s="169"/>
      <c r="APZ10" s="169"/>
      <c r="AQA10" s="169"/>
      <c r="AQB10" s="169"/>
      <c r="AQC10" s="169"/>
      <c r="AQD10" s="169"/>
      <c r="AQE10" s="169"/>
      <c r="AQF10" s="169"/>
      <c r="AQG10" s="169"/>
      <c r="AQH10" s="169"/>
      <c r="AQI10" s="169"/>
      <c r="AQJ10" s="169"/>
      <c r="AQK10" s="169"/>
      <c r="AQL10" s="169"/>
      <c r="AQM10" s="169"/>
      <c r="AQN10" s="169"/>
      <c r="AQO10" s="169"/>
      <c r="AQP10" s="169"/>
      <c r="AQQ10" s="169"/>
      <c r="AQR10" s="169"/>
      <c r="AQS10" s="169"/>
      <c r="AQT10" s="169"/>
      <c r="AQU10" s="169"/>
      <c r="AQV10" s="169"/>
      <c r="AQW10" s="169"/>
      <c r="AQX10" s="169"/>
      <c r="AQY10" s="169"/>
      <c r="AQZ10" s="169"/>
      <c r="ARA10" s="169"/>
      <c r="ARB10" s="169"/>
      <c r="ARC10" s="169"/>
      <c r="ARD10" s="169"/>
      <c r="ARE10" s="169"/>
      <c r="ARF10" s="169"/>
      <c r="ARG10" s="169"/>
      <c r="ARH10" s="169"/>
      <c r="ARI10" s="169"/>
      <c r="ARJ10" s="169"/>
      <c r="ARK10" s="169"/>
      <c r="ARL10" s="169"/>
      <c r="ARM10" s="169"/>
      <c r="ARN10" s="169"/>
      <c r="ARO10" s="169"/>
      <c r="ARP10" s="169"/>
      <c r="ARQ10" s="169"/>
      <c r="ARR10" s="169"/>
      <c r="ARS10" s="169"/>
      <c r="ART10" s="169"/>
      <c r="ARU10" s="169"/>
      <c r="ARV10" s="169"/>
      <c r="ARW10" s="169"/>
      <c r="ARX10" s="169"/>
      <c r="ARY10" s="169"/>
      <c r="ARZ10" s="169"/>
      <c r="ASA10" s="169"/>
      <c r="ASB10" s="169"/>
      <c r="ASC10" s="169"/>
      <c r="ASD10" s="169"/>
      <c r="ASE10" s="169"/>
      <c r="ASF10" s="169"/>
      <c r="ASG10" s="169"/>
      <c r="ASH10" s="169"/>
      <c r="ASI10" s="169"/>
      <c r="ASJ10" s="169"/>
      <c r="ASK10" s="169"/>
      <c r="ASL10" s="169"/>
      <c r="ASM10" s="169"/>
      <c r="ASN10" s="169"/>
      <c r="ASO10" s="169"/>
      <c r="ASP10" s="169"/>
      <c r="ASQ10" s="169"/>
      <c r="ASR10" s="169"/>
      <c r="ASS10" s="169"/>
      <c r="AST10" s="169"/>
      <c r="ASU10" s="169"/>
      <c r="ASV10" s="169"/>
      <c r="ASW10" s="169"/>
      <c r="ASX10" s="169"/>
      <c r="ASY10" s="169"/>
      <c r="ASZ10" s="169"/>
      <c r="ATA10" s="169"/>
      <c r="ATB10" s="169"/>
      <c r="ATC10" s="169"/>
      <c r="ATD10" s="169"/>
      <c r="ATE10" s="169"/>
      <c r="ATF10" s="169"/>
      <c r="ATG10" s="169"/>
      <c r="ATH10" s="169"/>
      <c r="ATI10" s="169"/>
      <c r="ATJ10" s="169"/>
      <c r="ATK10" s="169"/>
      <c r="ATL10" s="169"/>
      <c r="ATM10" s="169"/>
      <c r="ATN10" s="169"/>
      <c r="ATO10" s="169"/>
      <c r="ATP10" s="169"/>
      <c r="ATQ10" s="169"/>
      <c r="ATR10" s="169"/>
      <c r="ATS10" s="169"/>
      <c r="ATT10" s="169"/>
      <c r="ATU10" s="169"/>
      <c r="ATV10" s="169"/>
      <c r="ATW10" s="169"/>
      <c r="ATX10" s="169"/>
      <c r="ATY10" s="169"/>
      <c r="ATZ10" s="169"/>
      <c r="AUA10" s="169"/>
      <c r="AUB10" s="169"/>
      <c r="AUC10" s="169"/>
      <c r="AUD10" s="169"/>
      <c r="AUE10" s="169"/>
      <c r="AUF10" s="169"/>
      <c r="AUG10" s="169"/>
      <c r="AUH10" s="169"/>
      <c r="AUI10" s="169"/>
      <c r="AUJ10" s="169"/>
      <c r="AUK10" s="169"/>
      <c r="AUL10" s="169"/>
      <c r="AUM10" s="169"/>
      <c r="AUN10" s="169"/>
      <c r="AUO10" s="169"/>
      <c r="AUP10" s="169"/>
      <c r="AUQ10" s="169"/>
      <c r="AUR10" s="169"/>
      <c r="AUS10" s="169"/>
      <c r="AUT10" s="169"/>
      <c r="AUU10" s="169"/>
      <c r="AUV10" s="169"/>
      <c r="AUW10" s="169"/>
      <c r="AUX10" s="169"/>
      <c r="AUY10" s="169"/>
      <c r="AUZ10" s="169"/>
      <c r="AVA10" s="169"/>
      <c r="AVB10" s="169"/>
      <c r="AVC10" s="169"/>
      <c r="AVD10" s="169"/>
      <c r="AVE10" s="169"/>
      <c r="AVF10" s="169"/>
      <c r="AVG10" s="169"/>
      <c r="AVH10" s="169"/>
      <c r="AVI10" s="169"/>
      <c r="AVJ10" s="169"/>
      <c r="AVK10" s="169"/>
      <c r="AVL10" s="169"/>
      <c r="AVM10" s="169"/>
      <c r="AVN10" s="169"/>
      <c r="AVO10" s="169"/>
      <c r="AVP10" s="169"/>
      <c r="AVQ10" s="169"/>
      <c r="AVR10" s="169"/>
      <c r="AVS10" s="169"/>
      <c r="AVT10" s="169"/>
      <c r="AVU10" s="169"/>
      <c r="AVV10" s="169"/>
      <c r="AVW10" s="169"/>
      <c r="AVX10" s="169"/>
      <c r="AVY10" s="169"/>
      <c r="AVZ10" s="169"/>
      <c r="AWA10" s="169"/>
      <c r="AWB10" s="169"/>
      <c r="AWC10" s="169"/>
      <c r="AWD10" s="169"/>
      <c r="AWE10" s="169"/>
      <c r="AWF10" s="169"/>
      <c r="AWG10" s="169"/>
      <c r="AWH10" s="169"/>
      <c r="AWI10" s="169"/>
      <c r="AWJ10" s="169"/>
      <c r="AWK10" s="169"/>
      <c r="AWL10" s="169"/>
      <c r="AWM10" s="169"/>
      <c r="AWN10" s="169"/>
      <c r="AWO10" s="169"/>
      <c r="AWP10" s="169"/>
      <c r="AWQ10" s="169"/>
      <c r="AWR10" s="169"/>
      <c r="AWS10" s="169"/>
      <c r="AWT10" s="169"/>
      <c r="AWU10" s="169"/>
      <c r="AWV10" s="169"/>
      <c r="AWW10" s="169"/>
      <c r="AWX10" s="169"/>
      <c r="AWY10" s="169"/>
      <c r="AWZ10" s="169"/>
      <c r="AXA10" s="169"/>
      <c r="AXB10" s="169"/>
      <c r="AXC10" s="169"/>
      <c r="AXD10" s="169"/>
      <c r="AXE10" s="169"/>
      <c r="AXF10" s="169"/>
      <c r="AXG10" s="169"/>
      <c r="AXH10" s="169"/>
      <c r="AXI10" s="169"/>
      <c r="AXJ10" s="169"/>
      <c r="AXK10" s="169"/>
      <c r="AXL10" s="169"/>
      <c r="AXM10" s="169"/>
      <c r="AXN10" s="169"/>
      <c r="AXO10" s="169"/>
      <c r="AXP10" s="169"/>
      <c r="AXQ10" s="169"/>
      <c r="AXR10" s="169"/>
      <c r="AXS10" s="169"/>
      <c r="AXT10" s="169"/>
      <c r="AXU10" s="169"/>
      <c r="AXV10" s="169"/>
      <c r="AXW10" s="169"/>
      <c r="AXX10" s="169"/>
      <c r="AXY10" s="169"/>
      <c r="AXZ10" s="169"/>
      <c r="AYA10" s="169"/>
      <c r="AYB10" s="169"/>
      <c r="AYC10" s="169"/>
      <c r="AYD10" s="169"/>
      <c r="AYE10" s="169"/>
      <c r="AYF10" s="169"/>
      <c r="AYG10" s="169"/>
      <c r="AYH10" s="169"/>
      <c r="AYI10" s="169"/>
      <c r="AYJ10" s="169"/>
      <c r="AYK10" s="169"/>
      <c r="AYL10" s="169"/>
      <c r="AYM10" s="169"/>
      <c r="AYN10" s="169"/>
      <c r="AYO10" s="169"/>
      <c r="AYP10" s="169"/>
      <c r="AYQ10" s="169"/>
      <c r="AYR10" s="169"/>
      <c r="AYS10" s="169"/>
      <c r="AYT10" s="169"/>
      <c r="AYU10" s="169"/>
      <c r="AYV10" s="169"/>
      <c r="AYW10" s="169"/>
      <c r="AYX10" s="169"/>
      <c r="AYY10" s="169"/>
      <c r="AYZ10" s="169"/>
      <c r="AZA10" s="169"/>
      <c r="AZB10" s="169"/>
      <c r="AZC10" s="169"/>
      <c r="AZD10" s="169"/>
      <c r="AZE10" s="169"/>
      <c r="AZF10" s="169"/>
      <c r="AZG10" s="169"/>
      <c r="AZH10" s="169"/>
      <c r="AZI10" s="169"/>
      <c r="AZJ10" s="169"/>
      <c r="AZK10" s="169"/>
      <c r="AZL10" s="169"/>
      <c r="AZM10" s="169"/>
      <c r="AZN10" s="169"/>
      <c r="AZO10" s="169"/>
      <c r="AZP10" s="169"/>
      <c r="AZQ10" s="169"/>
      <c r="AZR10" s="169"/>
      <c r="AZS10" s="169"/>
      <c r="AZT10" s="169"/>
      <c r="AZU10" s="169"/>
      <c r="AZV10" s="169"/>
      <c r="AZW10" s="169"/>
      <c r="AZX10" s="169"/>
      <c r="AZY10" s="169"/>
      <c r="AZZ10" s="169"/>
      <c r="BAA10" s="169"/>
      <c r="BAB10" s="169"/>
      <c r="BAC10" s="169"/>
      <c r="BAD10" s="169"/>
      <c r="BAE10" s="169"/>
      <c r="BAF10" s="169"/>
      <c r="BAG10" s="169"/>
      <c r="BAH10" s="169"/>
      <c r="BAI10" s="169"/>
      <c r="BAJ10" s="169"/>
      <c r="BAK10" s="169"/>
      <c r="BAL10" s="169"/>
      <c r="BAM10" s="169"/>
      <c r="BAN10" s="169"/>
      <c r="BAO10" s="169"/>
      <c r="BAP10" s="169"/>
      <c r="BAQ10" s="169"/>
      <c r="BAR10" s="169"/>
      <c r="BAS10" s="169"/>
      <c r="BAT10" s="169"/>
      <c r="BAU10" s="169"/>
      <c r="BAV10" s="169"/>
      <c r="BAW10" s="169"/>
      <c r="BAX10" s="169"/>
      <c r="BAY10" s="169"/>
      <c r="BAZ10" s="169"/>
      <c r="BBA10" s="169"/>
      <c r="BBB10" s="169"/>
      <c r="BBC10" s="169"/>
      <c r="BBD10" s="169"/>
      <c r="BBE10" s="169"/>
      <c r="BBF10" s="169"/>
      <c r="BBG10" s="169"/>
      <c r="BBH10" s="169"/>
      <c r="BBI10" s="169"/>
      <c r="BBJ10" s="169"/>
      <c r="BBK10" s="169"/>
      <c r="BBL10" s="169"/>
      <c r="BBM10" s="169"/>
      <c r="BBN10" s="169"/>
      <c r="BBO10" s="169"/>
      <c r="BBP10" s="169"/>
      <c r="BBQ10" s="169"/>
      <c r="BBR10" s="169"/>
      <c r="BBS10" s="169"/>
      <c r="BBT10" s="169"/>
      <c r="BBU10" s="169"/>
      <c r="BBV10" s="169"/>
      <c r="BBW10" s="169"/>
      <c r="BBX10" s="169"/>
      <c r="BBY10" s="169"/>
      <c r="BBZ10" s="169"/>
      <c r="BCA10" s="169"/>
      <c r="BCB10" s="169"/>
      <c r="BCC10" s="169"/>
      <c r="BCD10" s="169"/>
      <c r="BCE10" s="169"/>
      <c r="BCF10" s="169"/>
      <c r="BCG10" s="169"/>
      <c r="BCH10" s="169"/>
      <c r="BCI10" s="169"/>
      <c r="BCJ10" s="169"/>
      <c r="BCK10" s="169"/>
      <c r="BCL10" s="169"/>
      <c r="BCM10" s="169"/>
      <c r="BCN10" s="169"/>
      <c r="BCO10" s="169"/>
      <c r="BCP10" s="169"/>
      <c r="BCQ10" s="169"/>
      <c r="BCR10" s="169"/>
      <c r="BCS10" s="169"/>
      <c r="BCT10" s="169"/>
      <c r="BCU10" s="169"/>
      <c r="BCV10" s="169"/>
      <c r="BCW10" s="169"/>
      <c r="BCX10" s="169"/>
      <c r="BCY10" s="169"/>
      <c r="BCZ10" s="169"/>
      <c r="BDA10" s="169"/>
      <c r="BDB10" s="169"/>
      <c r="BDC10" s="169"/>
      <c r="BDD10" s="169"/>
      <c r="BDE10" s="169"/>
      <c r="BDF10" s="169"/>
      <c r="BDG10" s="169"/>
      <c r="BDH10" s="169"/>
      <c r="BDI10" s="169"/>
      <c r="BDJ10" s="169"/>
      <c r="BDK10" s="169"/>
      <c r="BDL10" s="169"/>
      <c r="BDM10" s="169"/>
      <c r="BDN10" s="169"/>
      <c r="BDO10" s="169"/>
      <c r="BDP10" s="169"/>
      <c r="BDQ10" s="169"/>
      <c r="BDR10" s="169"/>
      <c r="BDS10" s="169"/>
      <c r="BDT10" s="169"/>
      <c r="BDU10" s="169"/>
      <c r="BDV10" s="169"/>
      <c r="BDW10" s="169"/>
      <c r="BDX10" s="169"/>
      <c r="BDY10" s="169"/>
      <c r="BDZ10" s="169"/>
      <c r="BEA10" s="169"/>
      <c r="BEB10" s="169"/>
      <c r="BEC10" s="169"/>
      <c r="BED10" s="169"/>
      <c r="BEE10" s="169"/>
      <c r="BEF10" s="169"/>
      <c r="BEG10" s="169"/>
      <c r="BEH10" s="169"/>
      <c r="BEI10" s="169"/>
      <c r="BEJ10" s="169"/>
      <c r="BEK10" s="169"/>
      <c r="BEL10" s="169"/>
      <c r="BEM10" s="169"/>
      <c r="BEN10" s="169"/>
      <c r="BEO10" s="169"/>
      <c r="BEP10" s="169"/>
      <c r="BEQ10" s="169"/>
      <c r="BER10" s="169"/>
      <c r="BES10" s="169"/>
      <c r="BET10" s="169"/>
      <c r="BEU10" s="169"/>
      <c r="BEV10" s="169"/>
      <c r="BEW10" s="169"/>
      <c r="BEX10" s="169"/>
      <c r="BEY10" s="169"/>
      <c r="BEZ10" s="169"/>
      <c r="BFA10" s="169"/>
      <c r="BFB10" s="169"/>
      <c r="BFC10" s="169"/>
      <c r="BFD10" s="169"/>
      <c r="BFE10" s="169"/>
      <c r="BFF10" s="169"/>
      <c r="BFG10" s="169"/>
      <c r="BFH10" s="169"/>
      <c r="BFI10" s="169"/>
      <c r="BFJ10" s="169"/>
      <c r="BFK10" s="169"/>
      <c r="BFL10" s="169"/>
      <c r="BFM10" s="169"/>
      <c r="BFN10" s="169"/>
      <c r="BFO10" s="169"/>
      <c r="BFP10" s="169"/>
      <c r="BFQ10" s="169"/>
      <c r="BFR10" s="169"/>
      <c r="BFS10" s="169"/>
      <c r="BFT10" s="169"/>
      <c r="BFU10" s="169"/>
      <c r="BFV10" s="169"/>
      <c r="BFW10" s="169"/>
      <c r="BFX10" s="169"/>
      <c r="BFY10" s="169"/>
      <c r="BFZ10" s="169"/>
      <c r="BGA10" s="169"/>
      <c r="BGB10" s="169"/>
      <c r="BGC10" s="169"/>
      <c r="BGD10" s="169"/>
      <c r="BGE10" s="169"/>
      <c r="BGF10" s="169"/>
      <c r="BGG10" s="169"/>
      <c r="BGH10" s="169"/>
      <c r="BGI10" s="169"/>
      <c r="BGJ10" s="169"/>
      <c r="BGK10" s="169"/>
      <c r="BGL10" s="169"/>
      <c r="BGM10" s="169"/>
      <c r="BGN10" s="169"/>
      <c r="BGO10" s="169"/>
      <c r="BGP10" s="169"/>
      <c r="BGQ10" s="169"/>
      <c r="BGR10" s="169"/>
      <c r="BGS10" s="169"/>
      <c r="BGT10" s="169"/>
      <c r="BGU10" s="169"/>
      <c r="BGV10" s="169"/>
      <c r="BGW10" s="169"/>
      <c r="BGX10" s="169"/>
      <c r="BGY10" s="169"/>
      <c r="BGZ10" s="169"/>
      <c r="BHA10" s="169"/>
      <c r="BHB10" s="169"/>
      <c r="BHC10" s="169"/>
      <c r="BHD10" s="169"/>
      <c r="BHE10" s="169"/>
      <c r="BHF10" s="169"/>
      <c r="BHG10" s="169"/>
      <c r="BHH10" s="169"/>
      <c r="BHI10" s="169"/>
      <c r="BHJ10" s="169"/>
      <c r="BHK10" s="169"/>
      <c r="BHL10" s="169"/>
      <c r="BHM10" s="169"/>
      <c r="BHN10" s="169"/>
      <c r="BHO10" s="169"/>
      <c r="BHP10" s="169"/>
      <c r="BHQ10" s="169"/>
      <c r="BHR10" s="169"/>
      <c r="BHS10" s="169"/>
      <c r="BHT10" s="169"/>
      <c r="BHU10" s="169"/>
      <c r="BHV10" s="169"/>
      <c r="BHW10" s="169"/>
      <c r="BHX10" s="169"/>
      <c r="BHY10" s="169"/>
      <c r="BHZ10" s="169"/>
      <c r="BIA10" s="169"/>
      <c r="BIB10" s="169"/>
      <c r="BIC10" s="169"/>
      <c r="BID10" s="169"/>
      <c r="BIE10" s="169"/>
      <c r="BIF10" s="169"/>
      <c r="BIG10" s="169"/>
      <c r="BIH10" s="169"/>
      <c r="BII10" s="169"/>
      <c r="BIJ10" s="169"/>
      <c r="BIK10" s="169"/>
      <c r="BIL10" s="169"/>
      <c r="BIM10" s="169"/>
      <c r="BIN10" s="169"/>
      <c r="BIO10" s="169"/>
      <c r="BIP10" s="169"/>
      <c r="BIQ10" s="169"/>
      <c r="BIR10" s="169"/>
      <c r="BIS10" s="169"/>
      <c r="BIT10" s="169"/>
      <c r="BIU10" s="169"/>
      <c r="BIV10" s="169"/>
      <c r="BIW10" s="169"/>
      <c r="BIX10" s="169"/>
      <c r="BIY10" s="169"/>
      <c r="BIZ10" s="169"/>
      <c r="BJA10" s="169"/>
      <c r="BJB10" s="169"/>
      <c r="BJC10" s="169"/>
      <c r="BJD10" s="169"/>
      <c r="BJE10" s="169"/>
      <c r="BJF10" s="169"/>
      <c r="BJG10" s="169"/>
      <c r="BJH10" s="169"/>
      <c r="BJI10" s="169"/>
      <c r="BJJ10" s="169"/>
      <c r="BJK10" s="169"/>
      <c r="BJL10" s="169"/>
      <c r="BJM10" s="169"/>
      <c r="BJN10" s="169"/>
      <c r="BJO10" s="169"/>
      <c r="BJP10" s="169"/>
      <c r="BJQ10" s="169"/>
      <c r="BJR10" s="169"/>
      <c r="BJS10" s="169"/>
      <c r="BJT10" s="169"/>
      <c r="BJU10" s="169"/>
      <c r="BJV10" s="169"/>
      <c r="BJW10" s="169"/>
      <c r="BJX10" s="169"/>
      <c r="BJY10" s="169"/>
      <c r="BJZ10" s="169"/>
      <c r="BKA10" s="169"/>
      <c r="BKB10" s="169"/>
      <c r="BKC10" s="169"/>
      <c r="BKD10" s="169"/>
      <c r="BKE10" s="169"/>
      <c r="BKF10" s="169"/>
      <c r="BKG10" s="169"/>
      <c r="BKH10" s="169"/>
      <c r="BKI10" s="169"/>
      <c r="BKJ10" s="169"/>
      <c r="BKK10" s="169"/>
      <c r="BKL10" s="169"/>
      <c r="BKM10" s="169"/>
      <c r="BKN10" s="169"/>
      <c r="BKO10" s="169"/>
      <c r="BKP10" s="169"/>
      <c r="BKQ10" s="169"/>
      <c r="BKR10" s="169"/>
      <c r="BKS10" s="169"/>
      <c r="BKT10" s="169"/>
      <c r="BKU10" s="169"/>
      <c r="BKV10" s="169"/>
      <c r="BKW10" s="169"/>
      <c r="BKX10" s="169"/>
      <c r="BKY10" s="169"/>
      <c r="BKZ10" s="169"/>
      <c r="BLA10" s="169"/>
      <c r="BLB10" s="169"/>
      <c r="BLC10" s="169"/>
      <c r="BLD10" s="169"/>
      <c r="BLE10" s="169"/>
      <c r="BLF10" s="169"/>
      <c r="BLG10" s="169"/>
      <c r="BLH10" s="169"/>
      <c r="BLI10" s="169"/>
      <c r="BLJ10" s="169"/>
      <c r="BLK10" s="169"/>
      <c r="BLL10" s="169"/>
      <c r="BLM10" s="169"/>
      <c r="BLN10" s="169"/>
      <c r="BLO10" s="169"/>
      <c r="BLP10" s="169"/>
      <c r="BLQ10" s="169"/>
      <c r="BLR10" s="169"/>
      <c r="BLS10" s="169"/>
      <c r="BLT10" s="169"/>
      <c r="BLU10" s="169"/>
    </row>
    <row r="11" spans="1:1744" ht="20.100000000000001" customHeight="1" x14ac:dyDescent="0.25">
      <c r="B11" s="96"/>
      <c r="C11" s="187"/>
      <c r="D11" s="187"/>
      <c r="E11" s="187"/>
      <c r="F11" s="190" t="s">
        <v>86</v>
      </c>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t="s">
        <v>85</v>
      </c>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c r="CM11" s="190"/>
      <c r="CN11" s="190"/>
      <c r="CO11" s="190"/>
      <c r="CP11" s="190"/>
      <c r="CQ11" s="190"/>
      <c r="CR11" s="190"/>
      <c r="CS11" s="190"/>
      <c r="CT11" s="190"/>
      <c r="CU11" s="190"/>
      <c r="CV11" s="190"/>
      <c r="CW11" s="190"/>
      <c r="CX11" s="190"/>
      <c r="CY11" s="190"/>
      <c r="CZ11" s="190"/>
      <c r="DA11" s="190"/>
      <c r="DB11" s="190"/>
      <c r="DC11" s="190"/>
      <c r="DD11" s="190"/>
      <c r="DE11" s="190"/>
      <c r="DF11" s="190"/>
      <c r="DG11" s="190"/>
      <c r="DH11" s="190"/>
      <c r="DI11" s="190"/>
      <c r="DJ11" s="190"/>
      <c r="DK11" s="190"/>
      <c r="DL11" s="190"/>
      <c r="DM11" s="190"/>
      <c r="DN11" s="190"/>
      <c r="DO11" s="190"/>
      <c r="DP11" s="190"/>
      <c r="DQ11" s="190"/>
      <c r="DR11" s="190"/>
      <c r="DS11" s="190"/>
      <c r="DT11" s="190"/>
      <c r="DU11" s="190"/>
      <c r="DV11" s="170" t="s">
        <v>85</v>
      </c>
      <c r="DW11" s="170"/>
      <c r="DX11" s="170"/>
      <c r="DY11" s="170"/>
      <c r="DZ11" s="170"/>
      <c r="EA11" s="170"/>
      <c r="EB11" s="170"/>
      <c r="EC11" s="170"/>
      <c r="ED11" s="170"/>
      <c r="EE11" s="170"/>
      <c r="EF11" s="170"/>
      <c r="EG11" s="170"/>
      <c r="EH11" s="170"/>
      <c r="EI11" s="170"/>
      <c r="EJ11" s="170"/>
      <c r="EK11" s="170"/>
      <c r="EL11" s="170"/>
      <c r="EM11" s="170"/>
      <c r="EN11" s="170"/>
      <c r="EO11" s="170"/>
      <c r="EP11" s="170"/>
      <c r="EQ11" s="170"/>
      <c r="ER11" s="170"/>
      <c r="ES11" s="170"/>
      <c r="ET11" s="170"/>
      <c r="EU11" s="170"/>
      <c r="EV11" s="170"/>
      <c r="EW11" s="170"/>
      <c r="EX11" s="170"/>
      <c r="EY11" s="170"/>
      <c r="EZ11" s="170"/>
      <c r="FA11" s="170"/>
      <c r="FB11" s="170"/>
      <c r="FC11" s="170"/>
      <c r="FD11" s="170"/>
      <c r="FE11" s="170"/>
      <c r="FF11" s="170"/>
      <c r="FG11" s="170"/>
      <c r="FH11" s="170"/>
      <c r="FI11" s="170"/>
      <c r="FJ11" s="170"/>
      <c r="FK11" s="170"/>
      <c r="FL11" s="170"/>
      <c r="FM11" s="170"/>
      <c r="FN11" s="170"/>
      <c r="FO11" s="170"/>
      <c r="FP11" s="170"/>
      <c r="FQ11" s="170"/>
      <c r="FR11" s="170"/>
      <c r="FS11" s="170"/>
      <c r="FT11" s="170"/>
      <c r="FU11" s="170"/>
      <c r="FV11" s="170"/>
      <c r="FW11" s="170"/>
      <c r="FX11" s="170"/>
      <c r="FY11" s="170"/>
      <c r="FZ11" s="170"/>
      <c r="GA11" s="170"/>
      <c r="GB11" s="170"/>
      <c r="GC11" s="170"/>
      <c r="GD11" s="170" t="s">
        <v>83</v>
      </c>
      <c r="GE11" s="170"/>
      <c r="GF11" s="170"/>
      <c r="GG11" s="170"/>
      <c r="GH11" s="170"/>
      <c r="GI11" s="170"/>
      <c r="GJ11" s="170"/>
      <c r="GK11" s="170"/>
      <c r="GL11" s="170"/>
      <c r="GM11" s="170"/>
      <c r="GN11" s="170"/>
      <c r="GO11" s="170"/>
      <c r="GP11" s="170"/>
      <c r="GQ11" s="170"/>
      <c r="GR11" s="170"/>
      <c r="GS11" s="170"/>
      <c r="GT11" s="170"/>
      <c r="GU11" s="170"/>
      <c r="GV11" s="170"/>
      <c r="GW11" s="170"/>
      <c r="GX11" s="170"/>
      <c r="GY11" s="170"/>
      <c r="GZ11" s="170"/>
      <c r="HA11" s="170"/>
      <c r="HB11" s="170"/>
      <c r="HC11" s="170"/>
      <c r="HD11" s="170"/>
      <c r="HE11" s="170"/>
      <c r="HF11" s="170"/>
      <c r="HG11" s="170"/>
      <c r="HH11" s="170"/>
      <c r="HI11" s="170"/>
      <c r="HJ11" s="170"/>
      <c r="HK11" s="170"/>
      <c r="HL11" s="170"/>
      <c r="HM11" s="170"/>
      <c r="HN11" s="170"/>
      <c r="HO11" s="170"/>
      <c r="HP11" s="170"/>
      <c r="HQ11" s="170"/>
      <c r="HR11" s="170"/>
      <c r="HS11" s="170"/>
      <c r="HT11" s="170"/>
      <c r="HU11" s="170"/>
      <c r="HV11" s="170"/>
      <c r="HW11" s="170"/>
      <c r="HX11" s="170"/>
      <c r="HY11" s="170"/>
      <c r="HZ11" s="170"/>
      <c r="IA11" s="170"/>
      <c r="IB11" s="170"/>
      <c r="IC11" s="170"/>
      <c r="ID11" s="170"/>
      <c r="IE11" s="170"/>
      <c r="IF11" s="170"/>
      <c r="IG11" s="170"/>
      <c r="IH11" s="170"/>
      <c r="II11" s="170"/>
      <c r="IJ11" s="170"/>
      <c r="IK11" s="170"/>
      <c r="IL11" s="170" t="s">
        <v>83</v>
      </c>
      <c r="IM11" s="170"/>
      <c r="IN11" s="170"/>
      <c r="IO11" s="170"/>
      <c r="IP11" s="170"/>
      <c r="IQ11" s="170"/>
      <c r="IR11" s="170"/>
      <c r="IS11" s="170"/>
      <c r="IT11" s="170"/>
      <c r="IU11" s="170"/>
      <c r="IV11" s="170"/>
      <c r="IW11" s="170"/>
      <c r="IX11" s="170"/>
      <c r="IY11" s="170"/>
      <c r="IZ11" s="170"/>
      <c r="JA11" s="170"/>
      <c r="JB11" s="170"/>
      <c r="JC11" s="170"/>
      <c r="JD11" s="170"/>
      <c r="JE11" s="170"/>
      <c r="JF11" s="170"/>
      <c r="JG11" s="170"/>
      <c r="JH11" s="170"/>
      <c r="JI11" s="170"/>
      <c r="JJ11" s="170"/>
      <c r="JK11" s="170"/>
      <c r="JL11" s="170"/>
      <c r="JM11" s="170"/>
      <c r="JN11" s="170"/>
      <c r="JO11" s="170"/>
      <c r="JP11" s="170"/>
      <c r="JQ11" s="170"/>
      <c r="JR11" s="170"/>
      <c r="JS11" s="170"/>
      <c r="JT11" s="170"/>
      <c r="JU11" s="170"/>
      <c r="JV11" s="170"/>
      <c r="JW11" s="170"/>
      <c r="JX11" s="170"/>
      <c r="JY11" s="170"/>
      <c r="JZ11" s="170"/>
      <c r="KA11" s="170"/>
      <c r="KB11" s="170"/>
      <c r="KC11" s="170"/>
      <c r="KD11" s="170"/>
      <c r="KE11" s="170"/>
      <c r="KF11" s="170"/>
      <c r="KG11" s="170"/>
      <c r="KH11" s="170"/>
      <c r="KI11" s="170"/>
      <c r="KJ11" s="170"/>
      <c r="KK11" s="170"/>
      <c r="KL11" s="170"/>
      <c r="KM11" s="170"/>
      <c r="KN11" s="170"/>
      <c r="KO11" s="170"/>
      <c r="KP11" s="170"/>
      <c r="KQ11" s="170"/>
      <c r="KR11" s="170"/>
      <c r="KS11" s="170"/>
      <c r="KT11" s="170" t="s">
        <v>81</v>
      </c>
      <c r="KU11" s="170"/>
      <c r="KV11" s="170"/>
      <c r="KW11" s="170"/>
      <c r="KX11" s="170"/>
      <c r="KY11" s="170"/>
      <c r="KZ11" s="170"/>
      <c r="LA11" s="170"/>
      <c r="LB11" s="170"/>
      <c r="LC11" s="170"/>
      <c r="LD11" s="170"/>
      <c r="LE11" s="170"/>
      <c r="LF11" s="170"/>
      <c r="LG11" s="170"/>
      <c r="LH11" s="170"/>
      <c r="LI11" s="170"/>
      <c r="LJ11" s="170"/>
      <c r="LK11" s="170"/>
      <c r="LL11" s="170"/>
      <c r="LM11" s="170"/>
      <c r="LN11" s="170"/>
      <c r="LO11" s="170"/>
      <c r="LP11" s="170"/>
      <c r="LQ11" s="170"/>
      <c r="LR11" s="170"/>
      <c r="LS11" s="170"/>
      <c r="LT11" s="170"/>
      <c r="LU11" s="170"/>
      <c r="LV11" s="170"/>
      <c r="LW11" s="170"/>
      <c r="LX11" s="170"/>
      <c r="LY11" s="170"/>
      <c r="LZ11" s="170"/>
      <c r="MA11" s="170"/>
      <c r="MB11" s="170"/>
      <c r="MC11" s="170"/>
      <c r="MD11" s="170"/>
      <c r="ME11" s="170"/>
      <c r="MF11" s="170"/>
      <c r="MG11" s="170"/>
      <c r="MH11" s="170"/>
      <c r="MI11" s="170"/>
      <c r="MJ11" s="170"/>
      <c r="MK11" s="170"/>
      <c r="ML11" s="170"/>
      <c r="MM11" s="170"/>
      <c r="MN11" s="170"/>
      <c r="MO11" s="170"/>
      <c r="MP11" s="170"/>
      <c r="MQ11" s="170"/>
      <c r="MR11" s="170"/>
      <c r="MS11" s="170"/>
      <c r="MT11" s="170"/>
      <c r="MU11" s="170"/>
      <c r="MV11" s="170"/>
      <c r="MW11" s="170"/>
      <c r="MX11" s="170"/>
      <c r="MY11" s="170"/>
      <c r="MZ11" s="170"/>
      <c r="NA11" s="170"/>
      <c r="NB11" s="170" t="s">
        <v>78</v>
      </c>
      <c r="NC11" s="170"/>
      <c r="ND11" s="170"/>
      <c r="NE11" s="170"/>
      <c r="NF11" s="170"/>
      <c r="NG11" s="170"/>
      <c r="NH11" s="170"/>
      <c r="NI11" s="170"/>
      <c r="NJ11" s="170"/>
      <c r="NK11" s="170"/>
      <c r="NL11" s="170"/>
      <c r="NM11" s="170"/>
      <c r="NN11" s="170"/>
      <c r="NO11" s="170"/>
      <c r="NP11" s="170"/>
      <c r="NQ11" s="170"/>
      <c r="NR11" s="170"/>
      <c r="NS11" s="170"/>
      <c r="NT11" s="170"/>
      <c r="NU11" s="170"/>
      <c r="NV11" s="170"/>
      <c r="NW11" s="170"/>
      <c r="NX11" s="170"/>
      <c r="NY11" s="170"/>
      <c r="NZ11" s="170"/>
      <c r="OA11" s="170"/>
      <c r="OB11" s="170"/>
      <c r="OC11" s="170"/>
      <c r="OD11" s="170"/>
      <c r="OE11" s="170"/>
      <c r="OF11" s="170"/>
      <c r="OG11" s="170"/>
      <c r="OH11" s="170"/>
      <c r="OI11" s="170"/>
      <c r="OJ11" s="170"/>
      <c r="OK11" s="170"/>
      <c r="OL11" s="170"/>
      <c r="OM11" s="170"/>
      <c r="ON11" s="170"/>
      <c r="OO11" s="170"/>
      <c r="OP11" s="170"/>
      <c r="OQ11" s="170"/>
      <c r="OR11" s="170"/>
      <c r="OS11" s="170"/>
      <c r="OT11" s="170"/>
      <c r="OU11" s="170"/>
      <c r="OV11" s="170"/>
      <c r="OW11" s="170"/>
      <c r="OX11" s="170"/>
      <c r="OY11" s="170"/>
      <c r="OZ11" s="170"/>
      <c r="PA11" s="170"/>
      <c r="PB11" s="170"/>
      <c r="PC11" s="170"/>
      <c r="PD11" s="170"/>
      <c r="PE11" s="170"/>
      <c r="PF11" s="170"/>
      <c r="PG11" s="170"/>
      <c r="PH11" s="170"/>
      <c r="PI11" s="170"/>
      <c r="PJ11" s="170" t="s">
        <v>78</v>
      </c>
      <c r="PK11" s="170"/>
      <c r="PL11" s="170"/>
      <c r="PM11" s="170"/>
      <c r="PN11" s="170"/>
      <c r="PO11" s="170"/>
      <c r="PP11" s="170"/>
      <c r="PQ11" s="170"/>
      <c r="PR11" s="170"/>
      <c r="PS11" s="170"/>
      <c r="PT11" s="170"/>
      <c r="PU11" s="170"/>
      <c r="PV11" s="170"/>
      <c r="PW11" s="170"/>
      <c r="PX11" s="170"/>
      <c r="PY11" s="170"/>
      <c r="PZ11" s="170"/>
      <c r="QA11" s="170"/>
      <c r="QB11" s="170"/>
      <c r="QC11" s="170"/>
      <c r="QD11" s="170"/>
      <c r="QE11" s="170"/>
      <c r="QF11" s="170"/>
      <c r="QG11" s="170"/>
      <c r="QH11" s="170"/>
      <c r="QI11" s="170"/>
      <c r="QJ11" s="170"/>
      <c r="QK11" s="170"/>
      <c r="QL11" s="170"/>
      <c r="QM11" s="170"/>
      <c r="QN11" s="170"/>
      <c r="QO11" s="170"/>
      <c r="QP11" s="170"/>
      <c r="QQ11" s="170"/>
      <c r="QR11" s="170"/>
      <c r="QS11" s="170"/>
      <c r="QT11" s="170"/>
      <c r="QU11" s="170"/>
      <c r="QV11" s="170"/>
      <c r="QW11" s="170"/>
      <c r="QX11" s="170"/>
      <c r="QY11" s="170"/>
      <c r="QZ11" s="170"/>
      <c r="RA11" s="170"/>
      <c r="RB11" s="170"/>
      <c r="RC11" s="170"/>
      <c r="RD11" s="170"/>
      <c r="RE11" s="170"/>
      <c r="RF11" s="170"/>
      <c r="RG11" s="170"/>
      <c r="RH11" s="170"/>
      <c r="RI11" s="170"/>
      <c r="RJ11" s="170"/>
      <c r="RK11" s="170"/>
      <c r="RL11" s="170"/>
      <c r="RM11" s="170"/>
      <c r="RN11" s="170"/>
      <c r="RO11" s="170"/>
      <c r="RP11" s="170"/>
      <c r="RQ11" s="170"/>
      <c r="RR11" s="170" t="s">
        <v>75</v>
      </c>
      <c r="RS11" s="170"/>
      <c r="RT11" s="170"/>
      <c r="RU11" s="170"/>
      <c r="RV11" s="170"/>
      <c r="RW11" s="170"/>
      <c r="RX11" s="170"/>
      <c r="RY11" s="170"/>
      <c r="RZ11" s="170"/>
      <c r="SA11" s="170"/>
      <c r="SB11" s="170"/>
      <c r="SC11" s="170"/>
      <c r="SD11" s="170"/>
      <c r="SE11" s="170"/>
      <c r="SF11" s="170"/>
      <c r="SG11" s="170"/>
      <c r="SH11" s="170"/>
      <c r="SI11" s="170"/>
      <c r="SJ11" s="170"/>
      <c r="SK11" s="170"/>
      <c r="SL11" s="170"/>
      <c r="SM11" s="170"/>
      <c r="SN11" s="170"/>
      <c r="SO11" s="170"/>
      <c r="SP11" s="170"/>
      <c r="SQ11" s="170"/>
      <c r="SR11" s="170"/>
      <c r="SS11" s="170"/>
      <c r="ST11" s="170"/>
      <c r="SU11" s="170"/>
      <c r="SV11" s="170"/>
      <c r="SW11" s="170"/>
      <c r="SX11" s="170"/>
      <c r="SY11" s="170"/>
      <c r="SZ11" s="170"/>
      <c r="TA11" s="170"/>
      <c r="TB11" s="170"/>
      <c r="TC11" s="170"/>
      <c r="TD11" s="170"/>
      <c r="TE11" s="170"/>
      <c r="TF11" s="170"/>
      <c r="TG11" s="170"/>
      <c r="TH11" s="170"/>
      <c r="TI11" s="170"/>
      <c r="TJ11" s="170"/>
      <c r="TK11" s="170"/>
      <c r="TL11" s="170"/>
      <c r="TM11" s="170"/>
      <c r="TN11" s="170"/>
      <c r="TO11" s="170"/>
      <c r="TP11" s="170"/>
      <c r="TQ11" s="170"/>
      <c r="TR11" s="170"/>
      <c r="TS11" s="170"/>
      <c r="TT11" s="170"/>
      <c r="TU11" s="170"/>
      <c r="TV11" s="170"/>
      <c r="TW11" s="170"/>
      <c r="TX11" s="170"/>
      <c r="TY11" s="170"/>
      <c r="TZ11" s="170" t="s">
        <v>75</v>
      </c>
      <c r="UA11" s="170"/>
      <c r="UB11" s="170"/>
      <c r="UC11" s="170"/>
      <c r="UD11" s="170"/>
      <c r="UE11" s="170"/>
      <c r="UF11" s="170"/>
      <c r="UG11" s="170"/>
      <c r="UH11" s="170"/>
      <c r="UI11" s="170"/>
      <c r="UJ11" s="170"/>
      <c r="UK11" s="170"/>
      <c r="UL11" s="170"/>
      <c r="UM11" s="170"/>
      <c r="UN11" s="170"/>
      <c r="UO11" s="170"/>
      <c r="UP11" s="170"/>
      <c r="UQ11" s="170"/>
      <c r="UR11" s="170"/>
      <c r="US11" s="170"/>
      <c r="UT11" s="170"/>
      <c r="UU11" s="170"/>
      <c r="UV11" s="170"/>
      <c r="UW11" s="170"/>
      <c r="UX11" s="170"/>
      <c r="UY11" s="170"/>
      <c r="UZ11" s="170"/>
      <c r="VA11" s="170"/>
      <c r="VB11" s="170"/>
      <c r="VC11" s="170"/>
      <c r="VD11" s="170"/>
      <c r="VE11" s="170"/>
      <c r="VF11" s="170"/>
      <c r="VG11" s="170"/>
      <c r="VH11" s="170"/>
      <c r="VI11" s="170"/>
      <c r="VJ11" s="170"/>
      <c r="VK11" s="170"/>
      <c r="VL11" s="170"/>
      <c r="VM11" s="170"/>
      <c r="VN11" s="170"/>
      <c r="VO11" s="170"/>
      <c r="VP11" s="170"/>
      <c r="VQ11" s="170"/>
      <c r="VR11" s="170"/>
      <c r="VS11" s="170"/>
      <c r="VT11" s="170"/>
      <c r="VU11" s="170"/>
      <c r="VV11" s="170"/>
      <c r="VW11" s="170"/>
      <c r="VX11" s="170"/>
      <c r="VY11" s="170"/>
      <c r="VZ11" s="170"/>
      <c r="WA11" s="170"/>
      <c r="WB11" s="170"/>
      <c r="WC11" s="170"/>
      <c r="WD11" s="170"/>
      <c r="WE11" s="170"/>
      <c r="WF11" s="170"/>
      <c r="WG11" s="170"/>
      <c r="WH11" s="170" t="s">
        <v>72</v>
      </c>
      <c r="WI11" s="170"/>
      <c r="WJ11" s="170"/>
      <c r="WK11" s="170"/>
      <c r="WL11" s="170"/>
      <c r="WM11" s="170"/>
      <c r="WN11" s="170"/>
      <c r="WO11" s="170"/>
      <c r="WP11" s="170"/>
      <c r="WQ11" s="170"/>
      <c r="WR11" s="170"/>
      <c r="WS11" s="170"/>
      <c r="WT11" s="170"/>
      <c r="WU11" s="170"/>
      <c r="WV11" s="170"/>
      <c r="WW11" s="170"/>
      <c r="WX11" s="170"/>
      <c r="WY11" s="170"/>
      <c r="WZ11" s="170"/>
      <c r="XA11" s="170"/>
      <c r="XB11" s="170"/>
      <c r="XC11" s="170"/>
      <c r="XD11" s="170"/>
      <c r="XE11" s="170"/>
      <c r="XF11" s="170"/>
      <c r="XG11" s="170"/>
      <c r="XH11" s="170"/>
      <c r="XI11" s="170"/>
      <c r="XJ11" s="170"/>
      <c r="XK11" s="170"/>
      <c r="XL11" s="170"/>
      <c r="XM11" s="170"/>
      <c r="XN11" s="170"/>
      <c r="XO11" s="170"/>
      <c r="XP11" s="170"/>
      <c r="XQ11" s="170"/>
      <c r="XR11" s="170"/>
      <c r="XS11" s="170"/>
      <c r="XT11" s="170"/>
      <c r="XU11" s="170"/>
      <c r="XV11" s="170"/>
      <c r="XW11" s="170"/>
      <c r="XX11" s="170"/>
      <c r="XY11" s="170"/>
      <c r="XZ11" s="170"/>
      <c r="YA11" s="170"/>
      <c r="YB11" s="170"/>
      <c r="YC11" s="170"/>
      <c r="YD11" s="170"/>
      <c r="YE11" s="170"/>
      <c r="YF11" s="170"/>
      <c r="YG11" s="170"/>
      <c r="YH11" s="170"/>
      <c r="YI11" s="170"/>
      <c r="YJ11" s="170"/>
      <c r="YK11" s="170"/>
      <c r="YL11" s="170"/>
      <c r="YM11" s="170"/>
      <c r="YN11" s="170"/>
      <c r="YO11" s="170"/>
      <c r="YP11" s="170" t="s">
        <v>72</v>
      </c>
      <c r="YQ11" s="170"/>
      <c r="YR11" s="170"/>
      <c r="YS11" s="170"/>
      <c r="YT11" s="170"/>
      <c r="YU11" s="170"/>
      <c r="YV11" s="170"/>
      <c r="YW11" s="170"/>
      <c r="YX11" s="170"/>
      <c r="YY11" s="170"/>
      <c r="YZ11" s="170"/>
      <c r="ZA11" s="170"/>
      <c r="ZB11" s="170"/>
      <c r="ZC11" s="170"/>
      <c r="ZD11" s="170"/>
      <c r="ZE11" s="170"/>
      <c r="ZF11" s="170"/>
      <c r="ZG11" s="170"/>
      <c r="ZH11" s="170"/>
      <c r="ZI11" s="170"/>
      <c r="ZJ11" s="170"/>
      <c r="ZK11" s="170"/>
      <c r="ZL11" s="170"/>
      <c r="ZM11" s="170"/>
      <c r="ZN11" s="170"/>
      <c r="ZO11" s="170"/>
      <c r="ZP11" s="170"/>
      <c r="ZQ11" s="170"/>
      <c r="ZR11" s="170"/>
      <c r="ZS11" s="170"/>
      <c r="ZT11" s="170"/>
      <c r="ZU11" s="170"/>
      <c r="ZV11" s="170"/>
      <c r="ZW11" s="170"/>
      <c r="ZX11" s="170"/>
      <c r="ZY11" s="170"/>
      <c r="ZZ11" s="170"/>
      <c r="AAA11" s="170"/>
      <c r="AAB11" s="170"/>
      <c r="AAC11" s="170"/>
      <c r="AAD11" s="170"/>
      <c r="AAE11" s="170"/>
      <c r="AAF11" s="170"/>
      <c r="AAG11" s="170"/>
      <c r="AAH11" s="170"/>
      <c r="AAI11" s="170"/>
      <c r="AAJ11" s="170"/>
      <c r="AAK11" s="170"/>
      <c r="AAL11" s="170"/>
      <c r="AAM11" s="170"/>
      <c r="AAN11" s="170"/>
      <c r="AAO11" s="170"/>
      <c r="AAP11" s="170"/>
      <c r="AAQ11" s="170"/>
      <c r="AAR11" s="170"/>
      <c r="AAS11" s="170"/>
      <c r="AAT11" s="170"/>
      <c r="AAU11" s="170"/>
      <c r="AAV11" s="170"/>
      <c r="AAW11" s="170"/>
      <c r="AAX11" s="170" t="s">
        <v>70</v>
      </c>
      <c r="AAY11" s="170"/>
      <c r="AAZ11" s="170"/>
      <c r="ABA11" s="170"/>
      <c r="ABB11" s="170"/>
      <c r="ABC11" s="170"/>
      <c r="ABD11" s="170"/>
      <c r="ABE11" s="170"/>
      <c r="ABF11" s="170"/>
      <c r="ABG11" s="170"/>
      <c r="ABH11" s="170"/>
      <c r="ABI11" s="170"/>
      <c r="ABJ11" s="170"/>
      <c r="ABK11" s="170"/>
      <c r="ABL11" s="170"/>
      <c r="ABM11" s="170"/>
      <c r="ABN11" s="170"/>
      <c r="ABO11" s="170"/>
      <c r="ABP11" s="170"/>
      <c r="ABQ11" s="170"/>
      <c r="ABR11" s="170"/>
      <c r="ABS11" s="170"/>
      <c r="ABT11" s="170"/>
      <c r="ABU11" s="170"/>
      <c r="ABV11" s="170"/>
      <c r="ABW11" s="170"/>
      <c r="ABX11" s="170"/>
      <c r="ABY11" s="170"/>
      <c r="ABZ11" s="170"/>
      <c r="ACA11" s="170"/>
      <c r="ACB11" s="170"/>
      <c r="ACC11" s="170"/>
      <c r="ACD11" s="170"/>
      <c r="ACE11" s="170"/>
      <c r="ACF11" s="170"/>
      <c r="ACG11" s="170"/>
      <c r="ACH11" s="170"/>
      <c r="ACI11" s="170"/>
      <c r="ACJ11" s="170"/>
      <c r="ACK11" s="170"/>
      <c r="ACL11" s="170"/>
      <c r="ACM11" s="170"/>
      <c r="ACN11" s="170"/>
      <c r="ACO11" s="170"/>
      <c r="ACP11" s="170"/>
      <c r="ACQ11" s="170"/>
      <c r="ACR11" s="170"/>
      <c r="ACS11" s="170"/>
      <c r="ACT11" s="170"/>
      <c r="ACU11" s="170"/>
      <c r="ACV11" s="170"/>
      <c r="ACW11" s="170"/>
      <c r="ACX11" s="170"/>
      <c r="ACY11" s="170"/>
      <c r="ACZ11" s="170"/>
      <c r="ADA11" s="170"/>
      <c r="ADB11" s="170"/>
      <c r="ADC11" s="170"/>
      <c r="ADD11" s="170"/>
      <c r="ADE11" s="170"/>
      <c r="ADF11" s="170" t="s">
        <v>67</v>
      </c>
      <c r="ADG11" s="170"/>
      <c r="ADH11" s="170"/>
      <c r="ADI11" s="170"/>
      <c r="ADJ11" s="170"/>
      <c r="ADK11" s="170"/>
      <c r="ADL11" s="170"/>
      <c r="ADM11" s="170"/>
      <c r="ADN11" s="170"/>
      <c r="ADO11" s="170"/>
      <c r="ADP11" s="170"/>
      <c r="ADQ11" s="170"/>
      <c r="ADR11" s="170"/>
      <c r="ADS11" s="170"/>
      <c r="ADT11" s="170"/>
      <c r="ADU11" s="170"/>
      <c r="ADV11" s="170"/>
      <c r="ADW11" s="170"/>
      <c r="ADX11" s="170"/>
      <c r="ADY11" s="170"/>
      <c r="ADZ11" s="170"/>
      <c r="AEA11" s="170"/>
      <c r="AEB11" s="170"/>
      <c r="AEC11" s="170"/>
      <c r="AED11" s="170"/>
      <c r="AEE11" s="170"/>
      <c r="AEF11" s="170"/>
      <c r="AEG11" s="170"/>
      <c r="AEH11" s="170"/>
      <c r="AEI11" s="170"/>
      <c r="AEJ11" s="170"/>
      <c r="AEK11" s="170"/>
      <c r="AEL11" s="170"/>
      <c r="AEM11" s="170"/>
      <c r="AEN11" s="170"/>
      <c r="AEO11" s="170"/>
      <c r="AEP11" s="170"/>
      <c r="AEQ11" s="170"/>
      <c r="AER11" s="170"/>
      <c r="AES11" s="170"/>
      <c r="AET11" s="170"/>
      <c r="AEU11" s="170"/>
      <c r="AEV11" s="170"/>
      <c r="AEW11" s="170"/>
      <c r="AEX11" s="170"/>
      <c r="AEY11" s="170"/>
      <c r="AEZ11" s="170"/>
      <c r="AFA11" s="170"/>
      <c r="AFB11" s="170"/>
      <c r="AFC11" s="170"/>
      <c r="AFD11" s="170"/>
      <c r="AFE11" s="170"/>
      <c r="AFF11" s="170"/>
      <c r="AFG11" s="170"/>
      <c r="AFH11" s="170"/>
      <c r="AFI11" s="170"/>
      <c r="AFJ11" s="170"/>
      <c r="AFK11" s="170"/>
      <c r="AFL11" s="170"/>
      <c r="AFM11" s="170"/>
      <c r="AFN11" s="170" t="s">
        <v>67</v>
      </c>
      <c r="AFO11" s="170"/>
      <c r="AFP11" s="170"/>
      <c r="AFQ11" s="170"/>
      <c r="AFR11" s="170"/>
      <c r="AFS11" s="170"/>
      <c r="AFT11" s="170"/>
      <c r="AFU11" s="170"/>
      <c r="AFV11" s="170"/>
      <c r="AFW11" s="170"/>
      <c r="AFX11" s="170"/>
      <c r="AFY11" s="170"/>
      <c r="AFZ11" s="170"/>
      <c r="AGA11" s="170"/>
      <c r="AGB11" s="170"/>
      <c r="AGC11" s="170"/>
      <c r="AGD11" s="170"/>
      <c r="AGE11" s="170"/>
      <c r="AGF11" s="170"/>
      <c r="AGG11" s="170"/>
      <c r="AGH11" s="170"/>
      <c r="AGI11" s="170"/>
      <c r="AGJ11" s="170"/>
      <c r="AGK11" s="170"/>
      <c r="AGL11" s="170"/>
      <c r="AGM11" s="170"/>
      <c r="AGN11" s="170"/>
      <c r="AGO11" s="170"/>
      <c r="AGP11" s="170"/>
      <c r="AGQ11" s="170"/>
      <c r="AGR11" s="170"/>
      <c r="AGS11" s="170"/>
      <c r="AGT11" s="170"/>
      <c r="AGU11" s="170"/>
      <c r="AGV11" s="170"/>
      <c r="AGW11" s="170"/>
      <c r="AGX11" s="170"/>
      <c r="AGY11" s="170"/>
      <c r="AGZ11" s="170"/>
      <c r="AHA11" s="170"/>
      <c r="AHB11" s="170"/>
      <c r="AHC11" s="170"/>
      <c r="AHD11" s="170"/>
      <c r="AHE11" s="170"/>
      <c r="AHF11" s="170"/>
      <c r="AHG11" s="170"/>
      <c r="AHH11" s="170"/>
      <c r="AHI11" s="170"/>
      <c r="AHJ11" s="170"/>
      <c r="AHK11" s="170"/>
      <c r="AHL11" s="170"/>
      <c r="AHM11" s="170"/>
      <c r="AHN11" s="170"/>
      <c r="AHO11" s="170"/>
      <c r="AHP11" s="170"/>
      <c r="AHQ11" s="170"/>
      <c r="AHR11" s="170"/>
      <c r="AHS11" s="170"/>
      <c r="AHT11" s="170"/>
      <c r="AHU11" s="170"/>
      <c r="AHV11" s="170" t="s">
        <v>61</v>
      </c>
      <c r="AHW11" s="170"/>
      <c r="AHX11" s="170"/>
      <c r="AHY11" s="170"/>
      <c r="AHZ11" s="170"/>
      <c r="AIA11" s="170"/>
      <c r="AIB11" s="170"/>
      <c r="AIC11" s="170"/>
      <c r="AID11" s="170"/>
      <c r="AIE11" s="170"/>
      <c r="AIF11" s="170"/>
      <c r="AIG11" s="170"/>
      <c r="AIH11" s="170"/>
      <c r="AII11" s="170"/>
      <c r="AIJ11" s="170"/>
      <c r="AIK11" s="170"/>
      <c r="AIL11" s="170"/>
      <c r="AIM11" s="170"/>
      <c r="AIN11" s="170"/>
      <c r="AIO11" s="170"/>
      <c r="AIP11" s="170"/>
      <c r="AIQ11" s="170"/>
      <c r="AIR11" s="170"/>
      <c r="AIS11" s="170"/>
      <c r="AIT11" s="170"/>
      <c r="AIU11" s="170"/>
      <c r="AIV11" s="170"/>
      <c r="AIW11" s="170"/>
      <c r="AIX11" s="170"/>
      <c r="AIY11" s="170"/>
      <c r="AIZ11" s="170"/>
      <c r="AJA11" s="170"/>
      <c r="AJB11" s="170"/>
      <c r="AJC11" s="170"/>
      <c r="AJD11" s="170"/>
      <c r="AJE11" s="170"/>
      <c r="AJF11" s="170"/>
      <c r="AJG11" s="170"/>
      <c r="AJH11" s="170"/>
      <c r="AJI11" s="170"/>
      <c r="AJJ11" s="170"/>
      <c r="AJK11" s="170"/>
      <c r="AJL11" s="170"/>
      <c r="AJM11" s="170"/>
      <c r="AJN11" s="170"/>
      <c r="AJO11" s="170"/>
      <c r="AJP11" s="170"/>
      <c r="AJQ11" s="170"/>
      <c r="AJR11" s="170"/>
      <c r="AJS11" s="170"/>
      <c r="AJT11" s="170"/>
      <c r="AJU11" s="170"/>
      <c r="AJV11" s="170"/>
      <c r="AJW11" s="170"/>
      <c r="AJX11" s="170"/>
      <c r="AJY11" s="170"/>
      <c r="AJZ11" s="170"/>
      <c r="AKA11" s="170"/>
      <c r="AKB11" s="170"/>
      <c r="AKC11" s="170"/>
      <c r="AKD11" s="170" t="s">
        <v>58</v>
      </c>
      <c r="AKE11" s="170"/>
      <c r="AKF11" s="170"/>
      <c r="AKG11" s="170"/>
      <c r="AKH11" s="170"/>
      <c r="AKI11" s="170"/>
      <c r="AKJ11" s="170"/>
      <c r="AKK11" s="170"/>
      <c r="AKL11" s="170"/>
      <c r="AKM11" s="170"/>
      <c r="AKN11" s="170"/>
      <c r="AKO11" s="170"/>
      <c r="AKP11" s="170"/>
      <c r="AKQ11" s="170"/>
      <c r="AKR11" s="170"/>
      <c r="AKS11" s="170"/>
      <c r="AKT11" s="170"/>
      <c r="AKU11" s="170"/>
      <c r="AKV11" s="170"/>
      <c r="AKW11" s="170"/>
      <c r="AKX11" s="170"/>
      <c r="AKY11" s="170"/>
      <c r="AKZ11" s="170"/>
      <c r="ALA11" s="170"/>
      <c r="ALB11" s="170"/>
      <c r="ALC11" s="170"/>
      <c r="ALD11" s="170"/>
      <c r="ALE11" s="170"/>
      <c r="ALF11" s="170"/>
      <c r="ALG11" s="170"/>
      <c r="ALH11" s="170"/>
      <c r="ALI11" s="170"/>
      <c r="ALJ11" s="170"/>
      <c r="ALK11" s="170"/>
      <c r="ALL11" s="170"/>
      <c r="ALM11" s="170"/>
      <c r="ALN11" s="170"/>
      <c r="ALO11" s="170"/>
      <c r="ALP11" s="170"/>
      <c r="ALQ11" s="170"/>
      <c r="ALR11" s="170"/>
      <c r="ALS11" s="170"/>
      <c r="ALT11" s="170"/>
      <c r="ALU11" s="170"/>
      <c r="ALV11" s="170"/>
      <c r="ALW11" s="170"/>
      <c r="ALX11" s="170"/>
      <c r="ALY11" s="170"/>
      <c r="ALZ11" s="170"/>
      <c r="AMA11" s="170"/>
      <c r="AMB11" s="170"/>
      <c r="AMC11" s="170"/>
      <c r="AMD11" s="170"/>
      <c r="AME11" s="170"/>
      <c r="AMF11" s="170"/>
      <c r="AMG11" s="170"/>
      <c r="AMH11" s="170"/>
      <c r="AMI11" s="170"/>
      <c r="AMJ11" s="170"/>
      <c r="AMK11" s="170"/>
      <c r="AML11" s="170" t="s">
        <v>58</v>
      </c>
      <c r="AMM11" s="170"/>
      <c r="AMN11" s="170"/>
      <c r="AMO11" s="170"/>
      <c r="AMP11" s="170"/>
      <c r="AMQ11" s="170"/>
      <c r="AMR11" s="170"/>
      <c r="AMS11" s="170"/>
      <c r="AMT11" s="170"/>
      <c r="AMU11" s="170"/>
      <c r="AMV11" s="170"/>
      <c r="AMW11" s="170"/>
      <c r="AMX11" s="170"/>
      <c r="AMY11" s="170"/>
      <c r="AMZ11" s="170"/>
      <c r="ANA11" s="170"/>
      <c r="ANB11" s="170"/>
      <c r="ANC11" s="170"/>
      <c r="AND11" s="170"/>
      <c r="ANE11" s="170"/>
      <c r="ANF11" s="170"/>
      <c r="ANG11" s="170"/>
      <c r="ANH11" s="170"/>
      <c r="ANI11" s="170"/>
      <c r="ANJ11" s="170"/>
      <c r="ANK11" s="170"/>
      <c r="ANL11" s="170"/>
      <c r="ANM11" s="170"/>
      <c r="ANN11" s="170"/>
      <c r="ANO11" s="170"/>
      <c r="ANP11" s="170"/>
      <c r="ANQ11" s="170"/>
      <c r="ANR11" s="170"/>
      <c r="ANS11" s="170"/>
      <c r="ANT11" s="170"/>
      <c r="ANU11" s="170"/>
      <c r="ANV11" s="170"/>
      <c r="ANW11" s="170"/>
      <c r="ANX11" s="170"/>
      <c r="ANY11" s="170"/>
      <c r="ANZ11" s="170"/>
      <c r="AOA11" s="170"/>
      <c r="AOB11" s="170"/>
      <c r="AOC11" s="170"/>
      <c r="AOD11" s="170"/>
      <c r="AOE11" s="170"/>
      <c r="AOF11" s="170"/>
      <c r="AOG11" s="170"/>
      <c r="AOH11" s="170"/>
      <c r="AOI11" s="170"/>
      <c r="AOJ11" s="170"/>
      <c r="AOK11" s="170"/>
      <c r="AOL11" s="170"/>
      <c r="AOM11" s="170"/>
      <c r="AON11" s="170"/>
      <c r="AOO11" s="170"/>
      <c r="AOP11" s="170"/>
      <c r="AOQ11" s="170"/>
      <c r="AOR11" s="170"/>
      <c r="AOS11" s="170"/>
      <c r="AOT11" s="170" t="s">
        <v>55</v>
      </c>
      <c r="AOU11" s="170"/>
      <c r="AOV11" s="170"/>
      <c r="AOW11" s="170"/>
      <c r="AOX11" s="170"/>
      <c r="AOY11" s="170"/>
      <c r="AOZ11" s="170"/>
      <c r="APA11" s="170"/>
      <c r="APB11" s="170"/>
      <c r="APC11" s="170"/>
      <c r="APD11" s="170"/>
      <c r="APE11" s="170"/>
      <c r="APF11" s="170"/>
      <c r="APG11" s="170"/>
      <c r="APH11" s="170"/>
      <c r="API11" s="170"/>
      <c r="APJ11" s="170"/>
      <c r="APK11" s="170"/>
      <c r="APL11" s="170"/>
      <c r="APM11" s="170"/>
      <c r="APN11" s="170"/>
      <c r="APO11" s="170"/>
      <c r="APP11" s="170"/>
      <c r="APQ11" s="170"/>
      <c r="APR11" s="170"/>
      <c r="APS11" s="170"/>
      <c r="APT11" s="170"/>
      <c r="APU11" s="170"/>
      <c r="APV11" s="170"/>
      <c r="APW11" s="170"/>
      <c r="APX11" s="170"/>
      <c r="APY11" s="170"/>
      <c r="APZ11" s="170"/>
      <c r="AQA11" s="170"/>
      <c r="AQB11" s="170"/>
      <c r="AQC11" s="170"/>
      <c r="AQD11" s="170"/>
      <c r="AQE11" s="170"/>
      <c r="AQF11" s="170"/>
      <c r="AQG11" s="170"/>
      <c r="AQH11" s="170"/>
      <c r="AQI11" s="170"/>
      <c r="AQJ11" s="170"/>
      <c r="AQK11" s="170"/>
      <c r="AQL11" s="170"/>
      <c r="AQM11" s="170"/>
      <c r="AQN11" s="170"/>
      <c r="AQO11" s="170"/>
      <c r="AQP11" s="170"/>
      <c r="AQQ11" s="170"/>
      <c r="AQR11" s="170"/>
      <c r="AQS11" s="170"/>
      <c r="AQT11" s="170"/>
      <c r="AQU11" s="170"/>
      <c r="AQV11" s="170"/>
      <c r="AQW11" s="170"/>
      <c r="AQX11" s="170"/>
      <c r="AQY11" s="170"/>
      <c r="AQZ11" s="170"/>
      <c r="ARA11" s="170"/>
      <c r="ARB11" s="170" t="s">
        <v>55</v>
      </c>
      <c r="ARC11" s="170"/>
      <c r="ARD11" s="170"/>
      <c r="ARE11" s="170"/>
      <c r="ARF11" s="170"/>
      <c r="ARG11" s="170"/>
      <c r="ARH11" s="170"/>
      <c r="ARI11" s="170"/>
      <c r="ARJ11" s="170"/>
      <c r="ARK11" s="170"/>
      <c r="ARL11" s="170"/>
      <c r="ARM11" s="170"/>
      <c r="ARN11" s="170"/>
      <c r="ARO11" s="170"/>
      <c r="ARP11" s="170"/>
      <c r="ARQ11" s="170"/>
      <c r="ARR11" s="170"/>
      <c r="ARS11" s="170"/>
      <c r="ART11" s="170"/>
      <c r="ARU11" s="170"/>
      <c r="ARV11" s="170"/>
      <c r="ARW11" s="170"/>
      <c r="ARX11" s="170"/>
      <c r="ARY11" s="170"/>
      <c r="ARZ11" s="170"/>
      <c r="ASA11" s="170"/>
      <c r="ASB11" s="170"/>
      <c r="ASC11" s="170"/>
      <c r="ASD11" s="170"/>
      <c r="ASE11" s="170"/>
      <c r="ASF11" s="170"/>
      <c r="ASG11" s="170"/>
      <c r="ASH11" s="170"/>
      <c r="ASI11" s="170"/>
      <c r="ASJ11" s="170"/>
      <c r="ASK11" s="170"/>
      <c r="ASL11" s="170"/>
      <c r="ASM11" s="170"/>
      <c r="ASN11" s="170"/>
      <c r="ASO11" s="170"/>
      <c r="ASP11" s="170"/>
      <c r="ASQ11" s="170"/>
      <c r="ASR11" s="170"/>
      <c r="ASS11" s="170"/>
      <c r="AST11" s="170"/>
      <c r="ASU11" s="170"/>
      <c r="ASV11" s="170"/>
      <c r="ASW11" s="170"/>
      <c r="ASX11" s="170"/>
      <c r="ASY11" s="170"/>
      <c r="ASZ11" s="170"/>
      <c r="ATA11" s="170"/>
      <c r="ATB11" s="170"/>
      <c r="ATC11" s="170"/>
      <c r="ATD11" s="170"/>
      <c r="ATE11" s="170"/>
      <c r="ATF11" s="170"/>
      <c r="ATG11" s="170"/>
      <c r="ATH11" s="170"/>
      <c r="ATI11" s="170"/>
      <c r="ATJ11" s="170" t="s">
        <v>52</v>
      </c>
      <c r="ATK11" s="170"/>
      <c r="ATL11" s="170"/>
      <c r="ATM11" s="170"/>
      <c r="ATN11" s="170"/>
      <c r="ATO11" s="170"/>
      <c r="ATP11" s="170"/>
      <c r="ATQ11" s="170"/>
      <c r="ATR11" s="170"/>
      <c r="ATS11" s="170"/>
      <c r="ATT11" s="170"/>
      <c r="ATU11" s="170"/>
      <c r="ATV11" s="170"/>
      <c r="ATW11" s="170"/>
      <c r="ATX11" s="170"/>
      <c r="ATY11" s="170"/>
      <c r="ATZ11" s="170"/>
      <c r="AUA11" s="170"/>
      <c r="AUB11" s="170"/>
      <c r="AUC11" s="170"/>
      <c r="AUD11" s="170"/>
      <c r="AUE11" s="170"/>
      <c r="AUF11" s="170"/>
      <c r="AUG11" s="170"/>
      <c r="AUH11" s="170"/>
      <c r="AUI11" s="170"/>
      <c r="AUJ11" s="170"/>
      <c r="AUK11" s="170"/>
      <c r="AUL11" s="170"/>
      <c r="AUM11" s="170"/>
      <c r="AUN11" s="170"/>
      <c r="AUO11" s="170"/>
      <c r="AUP11" s="170"/>
      <c r="AUQ11" s="170"/>
      <c r="AUR11" s="170"/>
      <c r="AUS11" s="170"/>
      <c r="AUT11" s="170"/>
      <c r="AUU11" s="170"/>
      <c r="AUV11" s="170"/>
      <c r="AUW11" s="170"/>
      <c r="AUX11" s="170"/>
      <c r="AUY11" s="170"/>
      <c r="AUZ11" s="170"/>
      <c r="AVA11" s="170"/>
      <c r="AVB11" s="170"/>
      <c r="AVC11" s="170"/>
      <c r="AVD11" s="170"/>
      <c r="AVE11" s="170"/>
      <c r="AVF11" s="170"/>
      <c r="AVG11" s="170"/>
      <c r="AVH11" s="170"/>
      <c r="AVI11" s="170"/>
      <c r="AVJ11" s="170"/>
      <c r="AVK11" s="170"/>
      <c r="AVL11" s="170"/>
      <c r="AVM11" s="170"/>
      <c r="AVN11" s="170"/>
      <c r="AVO11" s="170"/>
      <c r="AVP11" s="170"/>
      <c r="AVQ11" s="170"/>
      <c r="AVR11" s="170" t="s">
        <v>52</v>
      </c>
      <c r="AVS11" s="170"/>
      <c r="AVT11" s="170"/>
      <c r="AVU11" s="170"/>
      <c r="AVV11" s="170"/>
      <c r="AVW11" s="170"/>
      <c r="AVX11" s="170"/>
      <c r="AVY11" s="170"/>
      <c r="AVZ11" s="170"/>
      <c r="AWA11" s="170"/>
      <c r="AWB11" s="170"/>
      <c r="AWC11" s="170"/>
      <c r="AWD11" s="170"/>
      <c r="AWE11" s="170"/>
      <c r="AWF11" s="170"/>
      <c r="AWG11" s="170"/>
      <c r="AWH11" s="170"/>
      <c r="AWI11" s="170"/>
      <c r="AWJ11" s="170"/>
      <c r="AWK11" s="170"/>
      <c r="AWL11" s="170"/>
      <c r="AWM11" s="170"/>
      <c r="AWN11" s="170"/>
      <c r="AWO11" s="170"/>
      <c r="AWP11" s="170"/>
      <c r="AWQ11" s="170"/>
      <c r="AWR11" s="170"/>
      <c r="AWS11" s="170"/>
      <c r="AWT11" s="170"/>
      <c r="AWU11" s="170"/>
      <c r="AWV11" s="170"/>
      <c r="AWW11" s="170"/>
      <c r="AWX11" s="170"/>
      <c r="AWY11" s="170"/>
      <c r="AWZ11" s="170"/>
      <c r="AXA11" s="170"/>
      <c r="AXB11" s="170"/>
      <c r="AXC11" s="170"/>
      <c r="AXD11" s="170"/>
      <c r="AXE11" s="170"/>
      <c r="AXF11" s="170"/>
      <c r="AXG11" s="170"/>
      <c r="AXH11" s="170"/>
      <c r="AXI11" s="170"/>
      <c r="AXJ11" s="170"/>
      <c r="AXK11" s="170"/>
      <c r="AXL11" s="170"/>
      <c r="AXM11" s="170"/>
      <c r="AXN11" s="170"/>
      <c r="AXO11" s="170"/>
      <c r="AXP11" s="170"/>
      <c r="AXQ11" s="170"/>
      <c r="AXR11" s="170"/>
      <c r="AXS11" s="170"/>
      <c r="AXT11" s="170"/>
      <c r="AXU11" s="170"/>
      <c r="AXV11" s="170"/>
      <c r="AXW11" s="170"/>
      <c r="AXX11" s="170"/>
      <c r="AXY11" s="170"/>
      <c r="AXZ11" s="170" t="s">
        <v>48</v>
      </c>
      <c r="AYA11" s="170"/>
      <c r="AYB11" s="170"/>
      <c r="AYC11" s="170"/>
      <c r="AYD11" s="170"/>
      <c r="AYE11" s="170"/>
      <c r="AYF11" s="170"/>
      <c r="AYG11" s="170"/>
      <c r="AYH11" s="170"/>
      <c r="AYI11" s="170"/>
      <c r="AYJ11" s="170"/>
      <c r="AYK11" s="170"/>
      <c r="AYL11" s="170"/>
      <c r="AYM11" s="170"/>
      <c r="AYN11" s="170"/>
      <c r="AYO11" s="170"/>
      <c r="AYP11" s="170"/>
      <c r="AYQ11" s="170"/>
      <c r="AYR11" s="170"/>
      <c r="AYS11" s="170"/>
      <c r="AYT11" s="170"/>
      <c r="AYU11" s="170"/>
      <c r="AYV11" s="170"/>
      <c r="AYW11" s="170"/>
      <c r="AYX11" s="170"/>
      <c r="AYY11" s="170"/>
      <c r="AYZ11" s="170"/>
      <c r="AZA11" s="170"/>
      <c r="AZB11" s="170"/>
      <c r="AZC11" s="170"/>
      <c r="AZD11" s="170"/>
      <c r="AZE11" s="170"/>
      <c r="AZF11" s="170"/>
      <c r="AZG11" s="170"/>
      <c r="AZH11" s="170"/>
      <c r="AZI11" s="170"/>
      <c r="AZJ11" s="170"/>
      <c r="AZK11" s="170"/>
      <c r="AZL11" s="170"/>
      <c r="AZM11" s="170"/>
      <c r="AZN11" s="170"/>
      <c r="AZO11" s="170"/>
      <c r="AZP11" s="170"/>
      <c r="AZQ11" s="170"/>
      <c r="AZR11" s="170"/>
      <c r="AZS11" s="170"/>
      <c r="AZT11" s="170"/>
      <c r="AZU11" s="170"/>
      <c r="AZV11" s="170"/>
      <c r="AZW11" s="170"/>
      <c r="AZX11" s="170"/>
      <c r="AZY11" s="170"/>
      <c r="AZZ11" s="170"/>
      <c r="BAA11" s="170"/>
      <c r="BAB11" s="170"/>
      <c r="BAC11" s="170"/>
      <c r="BAD11" s="170"/>
      <c r="BAE11" s="170"/>
      <c r="BAF11" s="170"/>
      <c r="BAG11" s="170"/>
      <c r="BAH11" s="170" t="s">
        <v>48</v>
      </c>
      <c r="BAI11" s="170"/>
      <c r="BAJ11" s="170"/>
      <c r="BAK11" s="170"/>
      <c r="BAL11" s="170"/>
      <c r="BAM11" s="170"/>
      <c r="BAN11" s="170"/>
      <c r="BAO11" s="170"/>
      <c r="BAP11" s="170"/>
      <c r="BAQ11" s="170"/>
      <c r="BAR11" s="170"/>
      <c r="BAS11" s="170"/>
      <c r="BAT11" s="170"/>
      <c r="BAU11" s="170"/>
      <c r="BAV11" s="170"/>
      <c r="BAW11" s="170"/>
      <c r="BAX11" s="170"/>
      <c r="BAY11" s="170"/>
      <c r="BAZ11" s="170"/>
      <c r="BBA11" s="170"/>
      <c r="BBB11" s="170"/>
      <c r="BBC11" s="170"/>
      <c r="BBD11" s="170"/>
      <c r="BBE11" s="170"/>
      <c r="BBF11" s="170"/>
      <c r="BBG11" s="170"/>
      <c r="BBH11" s="170"/>
      <c r="BBI11" s="170"/>
      <c r="BBJ11" s="170"/>
      <c r="BBK11" s="170"/>
      <c r="BBL11" s="170"/>
      <c r="BBM11" s="170"/>
      <c r="BBN11" s="170"/>
      <c r="BBO11" s="170"/>
      <c r="BBP11" s="170"/>
      <c r="BBQ11" s="170"/>
      <c r="BBR11" s="170"/>
      <c r="BBS11" s="170"/>
      <c r="BBT11" s="170"/>
      <c r="BBU11" s="170"/>
      <c r="BBV11" s="170"/>
      <c r="BBW11" s="170"/>
      <c r="BBX11" s="170"/>
      <c r="BBY11" s="170"/>
      <c r="BBZ11" s="170"/>
      <c r="BCA11" s="170"/>
      <c r="BCB11" s="170"/>
      <c r="BCC11" s="170"/>
      <c r="BCD11" s="170"/>
      <c r="BCE11" s="170"/>
      <c r="BCF11" s="170"/>
      <c r="BCG11" s="170"/>
      <c r="BCH11" s="170"/>
      <c r="BCI11" s="170"/>
      <c r="BCJ11" s="170"/>
      <c r="BCK11" s="170"/>
      <c r="BCL11" s="170"/>
      <c r="BCM11" s="170"/>
      <c r="BCN11" s="170"/>
      <c r="BCO11" s="170"/>
      <c r="BCP11" s="170" t="s">
        <v>47</v>
      </c>
      <c r="BCQ11" s="170"/>
      <c r="BCR11" s="170"/>
      <c r="BCS11" s="170"/>
      <c r="BCT11" s="170"/>
      <c r="BCU11" s="170"/>
      <c r="BCV11" s="170"/>
      <c r="BCW11" s="170"/>
      <c r="BCX11" s="170"/>
      <c r="BCY11" s="170"/>
      <c r="BCZ11" s="170"/>
      <c r="BDA11" s="170"/>
      <c r="BDB11" s="170"/>
      <c r="BDC11" s="170"/>
      <c r="BDD11" s="170"/>
      <c r="BDE11" s="170"/>
      <c r="BDF11" s="170"/>
      <c r="BDG11" s="170"/>
      <c r="BDH11" s="170"/>
      <c r="BDI11" s="170"/>
      <c r="BDJ11" s="170"/>
      <c r="BDK11" s="170"/>
      <c r="BDL11" s="170"/>
      <c r="BDM11" s="170"/>
      <c r="BDN11" s="170"/>
      <c r="BDO11" s="170"/>
      <c r="BDP11" s="170"/>
      <c r="BDQ11" s="170"/>
      <c r="BDR11" s="170"/>
      <c r="BDS11" s="170"/>
      <c r="BDT11" s="170"/>
      <c r="BDU11" s="170"/>
      <c r="BDV11" s="170"/>
      <c r="BDW11" s="170"/>
      <c r="BDX11" s="170"/>
      <c r="BDY11" s="170"/>
      <c r="BDZ11" s="170"/>
      <c r="BEA11" s="170"/>
      <c r="BEB11" s="170"/>
      <c r="BEC11" s="170"/>
      <c r="BED11" s="170"/>
      <c r="BEE11" s="170"/>
      <c r="BEF11" s="170"/>
      <c r="BEG11" s="170"/>
      <c r="BEH11" s="170"/>
      <c r="BEI11" s="170"/>
      <c r="BEJ11" s="170"/>
      <c r="BEK11" s="170"/>
      <c r="BEL11" s="170"/>
      <c r="BEM11" s="170"/>
      <c r="BEN11" s="170"/>
      <c r="BEO11" s="170"/>
      <c r="BEP11" s="170"/>
      <c r="BEQ11" s="170"/>
      <c r="BER11" s="170"/>
      <c r="BES11" s="170"/>
      <c r="BET11" s="170"/>
      <c r="BEU11" s="170"/>
      <c r="BEV11" s="170"/>
      <c r="BEW11" s="170"/>
      <c r="BEX11" s="170" t="s">
        <v>47</v>
      </c>
      <c r="BEY11" s="170"/>
      <c r="BEZ11" s="170"/>
      <c r="BFA11" s="170"/>
      <c r="BFB11" s="170"/>
      <c r="BFC11" s="170"/>
      <c r="BFD11" s="170"/>
      <c r="BFE11" s="170"/>
      <c r="BFF11" s="170"/>
      <c r="BFG11" s="170"/>
      <c r="BFH11" s="170"/>
      <c r="BFI11" s="170"/>
      <c r="BFJ11" s="170"/>
      <c r="BFK11" s="170"/>
      <c r="BFL11" s="170"/>
      <c r="BFM11" s="170"/>
      <c r="BFN11" s="170"/>
      <c r="BFO11" s="170"/>
      <c r="BFP11" s="170"/>
      <c r="BFQ11" s="170"/>
      <c r="BFR11" s="170"/>
      <c r="BFS11" s="170"/>
      <c r="BFT11" s="170"/>
      <c r="BFU11" s="170"/>
      <c r="BFV11" s="170"/>
      <c r="BFW11" s="170"/>
      <c r="BFX11" s="170"/>
      <c r="BFY11" s="170"/>
      <c r="BFZ11" s="170"/>
      <c r="BGA11" s="170"/>
      <c r="BGB11" s="170"/>
      <c r="BGC11" s="170"/>
      <c r="BGD11" s="170"/>
      <c r="BGE11" s="170"/>
      <c r="BGF11" s="170"/>
      <c r="BGG11" s="170"/>
      <c r="BGH11" s="170"/>
      <c r="BGI11" s="170"/>
      <c r="BGJ11" s="170"/>
      <c r="BGK11" s="170"/>
      <c r="BGL11" s="170"/>
      <c r="BGM11" s="170"/>
      <c r="BGN11" s="170"/>
      <c r="BGO11" s="170"/>
      <c r="BGP11" s="170"/>
      <c r="BGQ11" s="170"/>
      <c r="BGR11" s="170"/>
      <c r="BGS11" s="170"/>
      <c r="BGT11" s="170"/>
      <c r="BGU11" s="170"/>
      <c r="BGV11" s="170"/>
      <c r="BGW11" s="170"/>
      <c r="BGX11" s="170"/>
      <c r="BGY11" s="170"/>
      <c r="BGZ11" s="170"/>
      <c r="BHA11" s="170"/>
      <c r="BHB11" s="170"/>
      <c r="BHC11" s="170"/>
      <c r="BHD11" s="170"/>
      <c r="BHE11" s="170"/>
      <c r="BHF11" s="170" t="s">
        <v>46</v>
      </c>
      <c r="BHG11" s="170"/>
      <c r="BHH11" s="170"/>
      <c r="BHI11" s="170"/>
      <c r="BHJ11" s="170"/>
      <c r="BHK11" s="170"/>
      <c r="BHL11" s="170"/>
      <c r="BHM11" s="170"/>
      <c r="BHN11" s="170"/>
      <c r="BHO11" s="170"/>
      <c r="BHP11" s="170"/>
      <c r="BHQ11" s="170"/>
      <c r="BHR11" s="170"/>
      <c r="BHS11" s="170"/>
      <c r="BHT11" s="170"/>
      <c r="BHU11" s="170"/>
      <c r="BHV11" s="170"/>
      <c r="BHW11" s="170"/>
      <c r="BHX11" s="170"/>
      <c r="BHY11" s="170"/>
      <c r="BHZ11" s="170"/>
      <c r="BIA11" s="170"/>
      <c r="BIB11" s="170"/>
      <c r="BIC11" s="170"/>
      <c r="BID11" s="170"/>
      <c r="BIE11" s="170"/>
      <c r="BIF11" s="170"/>
      <c r="BIG11" s="170"/>
      <c r="BIH11" s="170"/>
      <c r="BII11" s="170"/>
      <c r="BIJ11" s="170"/>
      <c r="BIK11" s="170"/>
      <c r="BIL11" s="170"/>
      <c r="BIM11" s="170"/>
      <c r="BIN11" s="170"/>
      <c r="BIO11" s="170"/>
      <c r="BIP11" s="170"/>
      <c r="BIQ11" s="170"/>
      <c r="BIR11" s="170"/>
      <c r="BIS11" s="170"/>
      <c r="BIT11" s="170"/>
      <c r="BIU11" s="170"/>
      <c r="BIV11" s="170"/>
      <c r="BIW11" s="170"/>
      <c r="BIX11" s="170"/>
      <c r="BIY11" s="170"/>
      <c r="BIZ11" s="170"/>
      <c r="BJA11" s="170"/>
      <c r="BJB11" s="170"/>
      <c r="BJC11" s="170"/>
      <c r="BJD11" s="170"/>
      <c r="BJE11" s="170"/>
      <c r="BJF11" s="170"/>
      <c r="BJG11" s="170"/>
      <c r="BJH11" s="170"/>
      <c r="BJI11" s="170"/>
      <c r="BJJ11" s="170"/>
      <c r="BJK11" s="170"/>
      <c r="BJL11" s="170"/>
      <c r="BJM11" s="170"/>
      <c r="BJN11" s="170" t="s">
        <v>46</v>
      </c>
      <c r="BJO11" s="170"/>
      <c r="BJP11" s="170"/>
      <c r="BJQ11" s="170"/>
      <c r="BJR11" s="170"/>
      <c r="BJS11" s="170"/>
      <c r="BJT11" s="170"/>
      <c r="BJU11" s="170"/>
      <c r="BJV11" s="170"/>
      <c r="BJW11" s="170"/>
      <c r="BJX11" s="170"/>
      <c r="BJY11" s="170"/>
      <c r="BJZ11" s="170"/>
      <c r="BKA11" s="170"/>
      <c r="BKB11" s="170"/>
      <c r="BKC11" s="170"/>
      <c r="BKD11" s="170"/>
      <c r="BKE11" s="170"/>
      <c r="BKF11" s="170"/>
      <c r="BKG11" s="170"/>
      <c r="BKH11" s="170"/>
      <c r="BKI11" s="170"/>
      <c r="BKJ11" s="170"/>
      <c r="BKK11" s="170"/>
      <c r="BKL11" s="170"/>
      <c r="BKM11" s="170"/>
      <c r="BKN11" s="170"/>
      <c r="BKO11" s="170"/>
      <c r="BKP11" s="170"/>
      <c r="BKQ11" s="170"/>
      <c r="BKR11" s="170"/>
      <c r="BKS11" s="170"/>
      <c r="BKT11" s="170"/>
      <c r="BKU11" s="170"/>
      <c r="BKV11" s="170"/>
      <c r="BKW11" s="170"/>
      <c r="BKX11" s="170"/>
      <c r="BKY11" s="170"/>
      <c r="BKZ11" s="170"/>
      <c r="BLA11" s="170"/>
      <c r="BLB11" s="170"/>
      <c r="BLC11" s="170"/>
      <c r="BLD11" s="170"/>
      <c r="BLE11" s="170"/>
      <c r="BLF11" s="170"/>
      <c r="BLG11" s="170"/>
      <c r="BLH11" s="170"/>
      <c r="BLI11" s="170"/>
      <c r="BLJ11" s="170"/>
      <c r="BLK11" s="170"/>
      <c r="BLL11" s="170"/>
      <c r="BLM11" s="170"/>
      <c r="BLN11" s="170"/>
      <c r="BLO11" s="170"/>
      <c r="BLP11" s="170"/>
      <c r="BLQ11" s="170"/>
      <c r="BLR11" s="170"/>
      <c r="BLS11" s="170"/>
      <c r="BLT11" s="170"/>
      <c r="BLU11" s="170"/>
    </row>
    <row r="12" spans="1:1744" ht="15.75" customHeight="1" thickBot="1" x14ac:dyDescent="0.3">
      <c r="B12" s="97"/>
      <c r="C12" s="188"/>
      <c r="D12" s="188"/>
      <c r="E12" s="188"/>
      <c r="F12" s="189" t="s">
        <v>44</v>
      </c>
      <c r="G12" s="189"/>
      <c r="H12" s="189"/>
      <c r="I12" s="189"/>
      <c r="J12" s="189"/>
      <c r="K12" s="189"/>
      <c r="L12" s="189"/>
      <c r="M12" s="189"/>
      <c r="N12" s="189"/>
      <c r="O12" s="189"/>
      <c r="P12" s="189"/>
      <c r="Q12" s="189"/>
      <c r="R12" s="189"/>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t="s">
        <v>45</v>
      </c>
      <c r="BO12" s="189"/>
      <c r="BP12" s="189"/>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c r="CM12" s="189"/>
      <c r="CN12" s="189"/>
      <c r="CO12" s="189"/>
      <c r="CP12" s="189"/>
      <c r="CQ12" s="189"/>
      <c r="CR12" s="189"/>
      <c r="CS12" s="189"/>
      <c r="CT12" s="189"/>
      <c r="CU12" s="189"/>
      <c r="CV12" s="189"/>
      <c r="CW12" s="189"/>
      <c r="CX12" s="189"/>
      <c r="CY12" s="189"/>
      <c r="CZ12" s="189"/>
      <c r="DA12" s="189"/>
      <c r="DB12" s="189"/>
      <c r="DC12" s="189"/>
      <c r="DD12" s="189"/>
      <c r="DE12" s="189"/>
      <c r="DF12" s="189"/>
      <c r="DG12" s="189"/>
      <c r="DH12" s="189"/>
      <c r="DI12" s="189"/>
      <c r="DJ12" s="189"/>
      <c r="DK12" s="189"/>
      <c r="DL12" s="189"/>
      <c r="DM12" s="189"/>
      <c r="DN12" s="189"/>
      <c r="DO12" s="189"/>
      <c r="DP12" s="189"/>
      <c r="DQ12" s="189"/>
      <c r="DR12" s="189"/>
      <c r="DS12" s="189"/>
      <c r="DT12" s="189"/>
      <c r="DU12" s="189"/>
      <c r="DV12" s="171" t="s">
        <v>44</v>
      </c>
      <c r="DW12" s="171"/>
      <c r="DX12" s="171"/>
      <c r="DY12" s="171"/>
      <c r="DZ12" s="171"/>
      <c r="EA12" s="171"/>
      <c r="EB12" s="171"/>
      <c r="EC12" s="171"/>
      <c r="ED12" s="171"/>
      <c r="EE12" s="171"/>
      <c r="EF12" s="171"/>
      <c r="EG12" s="171"/>
      <c r="EH12" s="171"/>
      <c r="EI12" s="171"/>
      <c r="EJ12" s="171"/>
      <c r="EK12" s="171"/>
      <c r="EL12" s="171"/>
      <c r="EM12" s="171"/>
      <c r="EN12" s="171"/>
      <c r="EO12" s="171"/>
      <c r="EP12" s="171"/>
      <c r="EQ12" s="171"/>
      <c r="ER12" s="171"/>
      <c r="ES12" s="171"/>
      <c r="ET12" s="171"/>
      <c r="EU12" s="171"/>
      <c r="EV12" s="171"/>
      <c r="EW12" s="171"/>
      <c r="EX12" s="171"/>
      <c r="EY12" s="171"/>
      <c r="EZ12" s="171"/>
      <c r="FA12" s="171"/>
      <c r="FB12" s="171"/>
      <c r="FC12" s="171"/>
      <c r="FD12" s="171"/>
      <c r="FE12" s="171"/>
      <c r="FF12" s="171"/>
      <c r="FG12" s="171"/>
      <c r="FH12" s="171"/>
      <c r="FI12" s="171"/>
      <c r="FJ12" s="171"/>
      <c r="FK12" s="171"/>
      <c r="FL12" s="171"/>
      <c r="FM12" s="171"/>
      <c r="FN12" s="171"/>
      <c r="FO12" s="171"/>
      <c r="FP12" s="171"/>
      <c r="FQ12" s="171"/>
      <c r="FR12" s="171"/>
      <c r="FS12" s="171"/>
      <c r="FT12" s="171"/>
      <c r="FU12" s="171"/>
      <c r="FV12" s="171"/>
      <c r="FW12" s="171"/>
      <c r="FX12" s="171"/>
      <c r="FY12" s="171"/>
      <c r="FZ12" s="171"/>
      <c r="GA12" s="171"/>
      <c r="GB12" s="171"/>
      <c r="GC12" s="171"/>
      <c r="GD12" s="171" t="s">
        <v>45</v>
      </c>
      <c r="GE12" s="171"/>
      <c r="GF12" s="171"/>
      <c r="GG12" s="171"/>
      <c r="GH12" s="171"/>
      <c r="GI12" s="171"/>
      <c r="GJ12" s="171"/>
      <c r="GK12" s="171"/>
      <c r="GL12" s="171"/>
      <c r="GM12" s="171"/>
      <c r="GN12" s="171"/>
      <c r="GO12" s="171"/>
      <c r="GP12" s="171"/>
      <c r="GQ12" s="171"/>
      <c r="GR12" s="171"/>
      <c r="GS12" s="171"/>
      <c r="GT12" s="171"/>
      <c r="GU12" s="171"/>
      <c r="GV12" s="171"/>
      <c r="GW12" s="171"/>
      <c r="GX12" s="171"/>
      <c r="GY12" s="171"/>
      <c r="GZ12" s="171"/>
      <c r="HA12" s="171"/>
      <c r="HB12" s="171"/>
      <c r="HC12" s="171"/>
      <c r="HD12" s="171"/>
      <c r="HE12" s="171"/>
      <c r="HF12" s="171"/>
      <c r="HG12" s="171"/>
      <c r="HH12" s="171"/>
      <c r="HI12" s="171"/>
      <c r="HJ12" s="171"/>
      <c r="HK12" s="171"/>
      <c r="HL12" s="171"/>
      <c r="HM12" s="171"/>
      <c r="HN12" s="171"/>
      <c r="HO12" s="171"/>
      <c r="HP12" s="171"/>
      <c r="HQ12" s="171"/>
      <c r="HR12" s="171"/>
      <c r="HS12" s="171"/>
      <c r="HT12" s="171"/>
      <c r="HU12" s="171"/>
      <c r="HV12" s="171"/>
      <c r="HW12" s="171"/>
      <c r="HX12" s="171"/>
      <c r="HY12" s="171"/>
      <c r="HZ12" s="171"/>
      <c r="IA12" s="171"/>
      <c r="IB12" s="171"/>
      <c r="IC12" s="171"/>
      <c r="ID12" s="171"/>
      <c r="IE12" s="171"/>
      <c r="IF12" s="171"/>
      <c r="IG12" s="171"/>
      <c r="IH12" s="171"/>
      <c r="II12" s="171"/>
      <c r="IJ12" s="171"/>
      <c r="IK12" s="171"/>
      <c r="IL12" s="171" t="s">
        <v>44</v>
      </c>
      <c r="IM12" s="171"/>
      <c r="IN12" s="171"/>
      <c r="IO12" s="171"/>
      <c r="IP12" s="171"/>
      <c r="IQ12" s="171"/>
      <c r="IR12" s="171"/>
      <c r="IS12" s="171"/>
      <c r="IT12" s="171"/>
      <c r="IU12" s="171"/>
      <c r="IV12" s="171"/>
      <c r="IW12" s="171"/>
      <c r="IX12" s="171"/>
      <c r="IY12" s="171"/>
      <c r="IZ12" s="171"/>
      <c r="JA12" s="171"/>
      <c r="JB12" s="171"/>
      <c r="JC12" s="171"/>
      <c r="JD12" s="171"/>
      <c r="JE12" s="171"/>
      <c r="JF12" s="171"/>
      <c r="JG12" s="171"/>
      <c r="JH12" s="171"/>
      <c r="JI12" s="171"/>
      <c r="JJ12" s="171"/>
      <c r="JK12" s="171"/>
      <c r="JL12" s="171"/>
      <c r="JM12" s="171"/>
      <c r="JN12" s="171"/>
      <c r="JO12" s="171"/>
      <c r="JP12" s="171"/>
      <c r="JQ12" s="171"/>
      <c r="JR12" s="171"/>
      <c r="JS12" s="171"/>
      <c r="JT12" s="171"/>
      <c r="JU12" s="171"/>
      <c r="JV12" s="171"/>
      <c r="JW12" s="171"/>
      <c r="JX12" s="171"/>
      <c r="JY12" s="171"/>
      <c r="JZ12" s="171"/>
      <c r="KA12" s="171"/>
      <c r="KB12" s="171"/>
      <c r="KC12" s="171"/>
      <c r="KD12" s="171"/>
      <c r="KE12" s="171"/>
      <c r="KF12" s="171"/>
      <c r="KG12" s="171"/>
      <c r="KH12" s="171"/>
      <c r="KI12" s="171"/>
      <c r="KJ12" s="171"/>
      <c r="KK12" s="171"/>
      <c r="KL12" s="171"/>
      <c r="KM12" s="171"/>
      <c r="KN12" s="171"/>
      <c r="KO12" s="171"/>
      <c r="KP12" s="171"/>
      <c r="KQ12" s="171"/>
      <c r="KR12" s="171"/>
      <c r="KS12" s="171"/>
      <c r="KT12" s="171" t="s">
        <v>45</v>
      </c>
      <c r="KU12" s="171"/>
      <c r="KV12" s="171"/>
      <c r="KW12" s="171"/>
      <c r="KX12" s="171"/>
      <c r="KY12" s="171"/>
      <c r="KZ12" s="171"/>
      <c r="LA12" s="171"/>
      <c r="LB12" s="171"/>
      <c r="LC12" s="171"/>
      <c r="LD12" s="171"/>
      <c r="LE12" s="171"/>
      <c r="LF12" s="171"/>
      <c r="LG12" s="171"/>
      <c r="LH12" s="171"/>
      <c r="LI12" s="171"/>
      <c r="LJ12" s="171"/>
      <c r="LK12" s="171"/>
      <c r="LL12" s="171"/>
      <c r="LM12" s="171"/>
      <c r="LN12" s="171"/>
      <c r="LO12" s="171"/>
      <c r="LP12" s="171"/>
      <c r="LQ12" s="171"/>
      <c r="LR12" s="171"/>
      <c r="LS12" s="171"/>
      <c r="LT12" s="171"/>
      <c r="LU12" s="171"/>
      <c r="LV12" s="171"/>
      <c r="LW12" s="171"/>
      <c r="LX12" s="171"/>
      <c r="LY12" s="171"/>
      <c r="LZ12" s="171"/>
      <c r="MA12" s="171"/>
      <c r="MB12" s="171"/>
      <c r="MC12" s="171"/>
      <c r="MD12" s="171"/>
      <c r="ME12" s="171"/>
      <c r="MF12" s="171"/>
      <c r="MG12" s="171"/>
      <c r="MH12" s="171"/>
      <c r="MI12" s="171"/>
      <c r="MJ12" s="171"/>
      <c r="MK12" s="171"/>
      <c r="ML12" s="171"/>
      <c r="MM12" s="171"/>
      <c r="MN12" s="171"/>
      <c r="MO12" s="171"/>
      <c r="MP12" s="171"/>
      <c r="MQ12" s="171"/>
      <c r="MR12" s="171"/>
      <c r="MS12" s="171"/>
      <c r="MT12" s="171"/>
      <c r="MU12" s="171"/>
      <c r="MV12" s="171"/>
      <c r="MW12" s="171"/>
      <c r="MX12" s="171"/>
      <c r="MY12" s="171"/>
      <c r="MZ12" s="171"/>
      <c r="NA12" s="171"/>
      <c r="NB12" s="171" t="s">
        <v>45</v>
      </c>
      <c r="NC12" s="171"/>
      <c r="ND12" s="171"/>
      <c r="NE12" s="171"/>
      <c r="NF12" s="171"/>
      <c r="NG12" s="171"/>
      <c r="NH12" s="171"/>
      <c r="NI12" s="171"/>
      <c r="NJ12" s="171"/>
      <c r="NK12" s="171"/>
      <c r="NL12" s="171"/>
      <c r="NM12" s="171"/>
      <c r="NN12" s="171"/>
      <c r="NO12" s="171"/>
      <c r="NP12" s="171"/>
      <c r="NQ12" s="171"/>
      <c r="NR12" s="171"/>
      <c r="NS12" s="171"/>
      <c r="NT12" s="171"/>
      <c r="NU12" s="171"/>
      <c r="NV12" s="171"/>
      <c r="NW12" s="171"/>
      <c r="NX12" s="171"/>
      <c r="NY12" s="171"/>
      <c r="NZ12" s="171"/>
      <c r="OA12" s="171"/>
      <c r="OB12" s="171"/>
      <c r="OC12" s="171"/>
      <c r="OD12" s="171"/>
      <c r="OE12" s="171"/>
      <c r="OF12" s="171"/>
      <c r="OG12" s="171"/>
      <c r="OH12" s="171"/>
      <c r="OI12" s="171"/>
      <c r="OJ12" s="171"/>
      <c r="OK12" s="171"/>
      <c r="OL12" s="171"/>
      <c r="OM12" s="171"/>
      <c r="ON12" s="171"/>
      <c r="OO12" s="171"/>
      <c r="OP12" s="171"/>
      <c r="OQ12" s="171"/>
      <c r="OR12" s="171"/>
      <c r="OS12" s="171"/>
      <c r="OT12" s="171"/>
      <c r="OU12" s="171"/>
      <c r="OV12" s="171"/>
      <c r="OW12" s="171"/>
      <c r="OX12" s="171"/>
      <c r="OY12" s="171"/>
      <c r="OZ12" s="171"/>
      <c r="PA12" s="171"/>
      <c r="PB12" s="171"/>
      <c r="PC12" s="171"/>
      <c r="PD12" s="171"/>
      <c r="PE12" s="171"/>
      <c r="PF12" s="171"/>
      <c r="PG12" s="171"/>
      <c r="PH12" s="171"/>
      <c r="PI12" s="171"/>
      <c r="PJ12" s="171" t="s">
        <v>44</v>
      </c>
      <c r="PK12" s="171"/>
      <c r="PL12" s="171"/>
      <c r="PM12" s="171"/>
      <c r="PN12" s="171"/>
      <c r="PO12" s="171"/>
      <c r="PP12" s="171"/>
      <c r="PQ12" s="171"/>
      <c r="PR12" s="171"/>
      <c r="PS12" s="171"/>
      <c r="PT12" s="171"/>
      <c r="PU12" s="171"/>
      <c r="PV12" s="171"/>
      <c r="PW12" s="171"/>
      <c r="PX12" s="171"/>
      <c r="PY12" s="171"/>
      <c r="PZ12" s="171"/>
      <c r="QA12" s="171"/>
      <c r="QB12" s="171"/>
      <c r="QC12" s="171"/>
      <c r="QD12" s="171"/>
      <c r="QE12" s="171"/>
      <c r="QF12" s="171"/>
      <c r="QG12" s="171"/>
      <c r="QH12" s="171"/>
      <c r="QI12" s="171"/>
      <c r="QJ12" s="171"/>
      <c r="QK12" s="171"/>
      <c r="QL12" s="171"/>
      <c r="QM12" s="171"/>
      <c r="QN12" s="171"/>
      <c r="QO12" s="171"/>
      <c r="QP12" s="171"/>
      <c r="QQ12" s="171"/>
      <c r="QR12" s="171"/>
      <c r="QS12" s="171"/>
      <c r="QT12" s="171"/>
      <c r="QU12" s="171"/>
      <c r="QV12" s="171"/>
      <c r="QW12" s="171"/>
      <c r="QX12" s="171"/>
      <c r="QY12" s="171"/>
      <c r="QZ12" s="171"/>
      <c r="RA12" s="171"/>
      <c r="RB12" s="171"/>
      <c r="RC12" s="171"/>
      <c r="RD12" s="171"/>
      <c r="RE12" s="171"/>
      <c r="RF12" s="171"/>
      <c r="RG12" s="171"/>
      <c r="RH12" s="171"/>
      <c r="RI12" s="171"/>
      <c r="RJ12" s="171"/>
      <c r="RK12" s="171"/>
      <c r="RL12" s="171"/>
      <c r="RM12" s="171"/>
      <c r="RN12" s="171"/>
      <c r="RO12" s="171"/>
      <c r="RP12" s="171"/>
      <c r="RQ12" s="171"/>
      <c r="RR12" s="171" t="s">
        <v>45</v>
      </c>
      <c r="RS12" s="171"/>
      <c r="RT12" s="171"/>
      <c r="RU12" s="171"/>
      <c r="RV12" s="171"/>
      <c r="RW12" s="171"/>
      <c r="RX12" s="171"/>
      <c r="RY12" s="171"/>
      <c r="RZ12" s="171"/>
      <c r="SA12" s="171"/>
      <c r="SB12" s="171"/>
      <c r="SC12" s="171"/>
      <c r="SD12" s="171"/>
      <c r="SE12" s="171"/>
      <c r="SF12" s="171"/>
      <c r="SG12" s="171"/>
      <c r="SH12" s="171"/>
      <c r="SI12" s="171"/>
      <c r="SJ12" s="171"/>
      <c r="SK12" s="171"/>
      <c r="SL12" s="171"/>
      <c r="SM12" s="171"/>
      <c r="SN12" s="171"/>
      <c r="SO12" s="171"/>
      <c r="SP12" s="171"/>
      <c r="SQ12" s="171"/>
      <c r="SR12" s="171"/>
      <c r="SS12" s="171"/>
      <c r="ST12" s="171"/>
      <c r="SU12" s="171"/>
      <c r="SV12" s="171"/>
      <c r="SW12" s="171"/>
      <c r="SX12" s="171"/>
      <c r="SY12" s="171"/>
      <c r="SZ12" s="171"/>
      <c r="TA12" s="171"/>
      <c r="TB12" s="171"/>
      <c r="TC12" s="171"/>
      <c r="TD12" s="171"/>
      <c r="TE12" s="171"/>
      <c r="TF12" s="171"/>
      <c r="TG12" s="171"/>
      <c r="TH12" s="171"/>
      <c r="TI12" s="171"/>
      <c r="TJ12" s="171"/>
      <c r="TK12" s="171"/>
      <c r="TL12" s="171"/>
      <c r="TM12" s="171"/>
      <c r="TN12" s="171"/>
      <c r="TO12" s="171"/>
      <c r="TP12" s="171"/>
      <c r="TQ12" s="171"/>
      <c r="TR12" s="171"/>
      <c r="TS12" s="171"/>
      <c r="TT12" s="171"/>
      <c r="TU12" s="171"/>
      <c r="TV12" s="171"/>
      <c r="TW12" s="171"/>
      <c r="TX12" s="171"/>
      <c r="TY12" s="171"/>
      <c r="TZ12" s="171" t="s">
        <v>44</v>
      </c>
      <c r="UA12" s="171"/>
      <c r="UB12" s="171"/>
      <c r="UC12" s="171"/>
      <c r="UD12" s="171"/>
      <c r="UE12" s="171"/>
      <c r="UF12" s="171"/>
      <c r="UG12" s="171"/>
      <c r="UH12" s="171"/>
      <c r="UI12" s="171"/>
      <c r="UJ12" s="171"/>
      <c r="UK12" s="171"/>
      <c r="UL12" s="171"/>
      <c r="UM12" s="171"/>
      <c r="UN12" s="171"/>
      <c r="UO12" s="171"/>
      <c r="UP12" s="171"/>
      <c r="UQ12" s="171"/>
      <c r="UR12" s="171"/>
      <c r="US12" s="171"/>
      <c r="UT12" s="171"/>
      <c r="UU12" s="171"/>
      <c r="UV12" s="171"/>
      <c r="UW12" s="171"/>
      <c r="UX12" s="171"/>
      <c r="UY12" s="171"/>
      <c r="UZ12" s="171"/>
      <c r="VA12" s="171"/>
      <c r="VB12" s="171"/>
      <c r="VC12" s="171"/>
      <c r="VD12" s="171"/>
      <c r="VE12" s="171"/>
      <c r="VF12" s="171"/>
      <c r="VG12" s="171"/>
      <c r="VH12" s="171"/>
      <c r="VI12" s="171"/>
      <c r="VJ12" s="171"/>
      <c r="VK12" s="171"/>
      <c r="VL12" s="171"/>
      <c r="VM12" s="171"/>
      <c r="VN12" s="171"/>
      <c r="VO12" s="171"/>
      <c r="VP12" s="171"/>
      <c r="VQ12" s="171"/>
      <c r="VR12" s="171"/>
      <c r="VS12" s="171"/>
      <c r="VT12" s="171"/>
      <c r="VU12" s="171"/>
      <c r="VV12" s="171"/>
      <c r="VW12" s="171"/>
      <c r="VX12" s="171"/>
      <c r="VY12" s="171"/>
      <c r="VZ12" s="171"/>
      <c r="WA12" s="171"/>
      <c r="WB12" s="171"/>
      <c r="WC12" s="171"/>
      <c r="WD12" s="171"/>
      <c r="WE12" s="171"/>
      <c r="WF12" s="171"/>
      <c r="WG12" s="171"/>
      <c r="WH12" s="171" t="s">
        <v>45</v>
      </c>
      <c r="WI12" s="171"/>
      <c r="WJ12" s="171"/>
      <c r="WK12" s="171"/>
      <c r="WL12" s="171"/>
      <c r="WM12" s="171"/>
      <c r="WN12" s="171"/>
      <c r="WO12" s="171"/>
      <c r="WP12" s="171"/>
      <c r="WQ12" s="171"/>
      <c r="WR12" s="171"/>
      <c r="WS12" s="171"/>
      <c r="WT12" s="171"/>
      <c r="WU12" s="171"/>
      <c r="WV12" s="171"/>
      <c r="WW12" s="171"/>
      <c r="WX12" s="171"/>
      <c r="WY12" s="171"/>
      <c r="WZ12" s="171"/>
      <c r="XA12" s="171"/>
      <c r="XB12" s="171"/>
      <c r="XC12" s="171"/>
      <c r="XD12" s="171"/>
      <c r="XE12" s="171"/>
      <c r="XF12" s="171"/>
      <c r="XG12" s="171"/>
      <c r="XH12" s="171"/>
      <c r="XI12" s="171"/>
      <c r="XJ12" s="171"/>
      <c r="XK12" s="171"/>
      <c r="XL12" s="171"/>
      <c r="XM12" s="171"/>
      <c r="XN12" s="171"/>
      <c r="XO12" s="171"/>
      <c r="XP12" s="171"/>
      <c r="XQ12" s="171"/>
      <c r="XR12" s="171"/>
      <c r="XS12" s="171"/>
      <c r="XT12" s="171"/>
      <c r="XU12" s="171"/>
      <c r="XV12" s="171"/>
      <c r="XW12" s="171"/>
      <c r="XX12" s="171"/>
      <c r="XY12" s="171"/>
      <c r="XZ12" s="171"/>
      <c r="YA12" s="171"/>
      <c r="YB12" s="171"/>
      <c r="YC12" s="171"/>
      <c r="YD12" s="171"/>
      <c r="YE12" s="171"/>
      <c r="YF12" s="171"/>
      <c r="YG12" s="171"/>
      <c r="YH12" s="171"/>
      <c r="YI12" s="171"/>
      <c r="YJ12" s="171"/>
      <c r="YK12" s="171"/>
      <c r="YL12" s="171"/>
      <c r="YM12" s="171"/>
      <c r="YN12" s="171"/>
      <c r="YO12" s="171"/>
      <c r="YP12" s="171" t="s">
        <v>44</v>
      </c>
      <c r="YQ12" s="171"/>
      <c r="YR12" s="171"/>
      <c r="YS12" s="171"/>
      <c r="YT12" s="171"/>
      <c r="YU12" s="171"/>
      <c r="YV12" s="171"/>
      <c r="YW12" s="171"/>
      <c r="YX12" s="171"/>
      <c r="YY12" s="171"/>
      <c r="YZ12" s="171"/>
      <c r="ZA12" s="171"/>
      <c r="ZB12" s="171"/>
      <c r="ZC12" s="171"/>
      <c r="ZD12" s="171"/>
      <c r="ZE12" s="171"/>
      <c r="ZF12" s="171"/>
      <c r="ZG12" s="171"/>
      <c r="ZH12" s="171"/>
      <c r="ZI12" s="171"/>
      <c r="ZJ12" s="171"/>
      <c r="ZK12" s="171"/>
      <c r="ZL12" s="171"/>
      <c r="ZM12" s="171"/>
      <c r="ZN12" s="171"/>
      <c r="ZO12" s="171"/>
      <c r="ZP12" s="171"/>
      <c r="ZQ12" s="171"/>
      <c r="ZR12" s="171"/>
      <c r="ZS12" s="171"/>
      <c r="ZT12" s="171"/>
      <c r="ZU12" s="171"/>
      <c r="ZV12" s="171"/>
      <c r="ZW12" s="171"/>
      <c r="ZX12" s="171"/>
      <c r="ZY12" s="171"/>
      <c r="ZZ12" s="171"/>
      <c r="AAA12" s="171"/>
      <c r="AAB12" s="171"/>
      <c r="AAC12" s="171"/>
      <c r="AAD12" s="171"/>
      <c r="AAE12" s="171"/>
      <c r="AAF12" s="171"/>
      <c r="AAG12" s="171"/>
      <c r="AAH12" s="171"/>
      <c r="AAI12" s="171"/>
      <c r="AAJ12" s="171"/>
      <c r="AAK12" s="171"/>
      <c r="AAL12" s="171"/>
      <c r="AAM12" s="171"/>
      <c r="AAN12" s="171"/>
      <c r="AAO12" s="171"/>
      <c r="AAP12" s="171"/>
      <c r="AAQ12" s="171"/>
      <c r="AAR12" s="171"/>
      <c r="AAS12" s="171"/>
      <c r="AAT12" s="171"/>
      <c r="AAU12" s="171"/>
      <c r="AAV12" s="171"/>
      <c r="AAW12" s="171"/>
      <c r="AAX12" s="171" t="s">
        <v>45</v>
      </c>
      <c r="AAY12" s="171"/>
      <c r="AAZ12" s="171"/>
      <c r="ABA12" s="171"/>
      <c r="ABB12" s="171"/>
      <c r="ABC12" s="171"/>
      <c r="ABD12" s="171"/>
      <c r="ABE12" s="171"/>
      <c r="ABF12" s="171"/>
      <c r="ABG12" s="171"/>
      <c r="ABH12" s="171"/>
      <c r="ABI12" s="171"/>
      <c r="ABJ12" s="171"/>
      <c r="ABK12" s="171"/>
      <c r="ABL12" s="171"/>
      <c r="ABM12" s="171"/>
      <c r="ABN12" s="171"/>
      <c r="ABO12" s="171"/>
      <c r="ABP12" s="171"/>
      <c r="ABQ12" s="171"/>
      <c r="ABR12" s="171"/>
      <c r="ABS12" s="171"/>
      <c r="ABT12" s="171"/>
      <c r="ABU12" s="171"/>
      <c r="ABV12" s="171"/>
      <c r="ABW12" s="171"/>
      <c r="ABX12" s="171"/>
      <c r="ABY12" s="171"/>
      <c r="ABZ12" s="171"/>
      <c r="ACA12" s="171"/>
      <c r="ACB12" s="171"/>
      <c r="ACC12" s="171"/>
      <c r="ACD12" s="171"/>
      <c r="ACE12" s="171"/>
      <c r="ACF12" s="171"/>
      <c r="ACG12" s="171"/>
      <c r="ACH12" s="171"/>
      <c r="ACI12" s="171"/>
      <c r="ACJ12" s="171"/>
      <c r="ACK12" s="171"/>
      <c r="ACL12" s="171"/>
      <c r="ACM12" s="171"/>
      <c r="ACN12" s="171"/>
      <c r="ACO12" s="171"/>
      <c r="ACP12" s="171"/>
      <c r="ACQ12" s="171"/>
      <c r="ACR12" s="171"/>
      <c r="ACS12" s="171"/>
      <c r="ACT12" s="171"/>
      <c r="ACU12" s="171"/>
      <c r="ACV12" s="171"/>
      <c r="ACW12" s="171"/>
      <c r="ACX12" s="171"/>
      <c r="ACY12" s="171"/>
      <c r="ACZ12" s="171"/>
      <c r="ADA12" s="171"/>
      <c r="ADB12" s="171"/>
      <c r="ADC12" s="171"/>
      <c r="ADD12" s="171"/>
      <c r="ADE12" s="171"/>
      <c r="ADF12" s="171" t="s">
        <v>45</v>
      </c>
      <c r="ADG12" s="171"/>
      <c r="ADH12" s="171"/>
      <c r="ADI12" s="171"/>
      <c r="ADJ12" s="171"/>
      <c r="ADK12" s="171"/>
      <c r="ADL12" s="171"/>
      <c r="ADM12" s="171"/>
      <c r="ADN12" s="171"/>
      <c r="ADO12" s="171"/>
      <c r="ADP12" s="171"/>
      <c r="ADQ12" s="171"/>
      <c r="ADR12" s="171"/>
      <c r="ADS12" s="171"/>
      <c r="ADT12" s="171"/>
      <c r="ADU12" s="171"/>
      <c r="ADV12" s="171"/>
      <c r="ADW12" s="171"/>
      <c r="ADX12" s="171"/>
      <c r="ADY12" s="171"/>
      <c r="ADZ12" s="171"/>
      <c r="AEA12" s="171"/>
      <c r="AEB12" s="171"/>
      <c r="AEC12" s="171"/>
      <c r="AED12" s="171"/>
      <c r="AEE12" s="171"/>
      <c r="AEF12" s="171"/>
      <c r="AEG12" s="171"/>
      <c r="AEH12" s="171"/>
      <c r="AEI12" s="171"/>
      <c r="AEJ12" s="171"/>
      <c r="AEK12" s="171"/>
      <c r="AEL12" s="171"/>
      <c r="AEM12" s="171"/>
      <c r="AEN12" s="171"/>
      <c r="AEO12" s="171"/>
      <c r="AEP12" s="171"/>
      <c r="AEQ12" s="171"/>
      <c r="AER12" s="171"/>
      <c r="AES12" s="171"/>
      <c r="AET12" s="171"/>
      <c r="AEU12" s="171"/>
      <c r="AEV12" s="171"/>
      <c r="AEW12" s="171"/>
      <c r="AEX12" s="171"/>
      <c r="AEY12" s="171"/>
      <c r="AEZ12" s="171"/>
      <c r="AFA12" s="171"/>
      <c r="AFB12" s="171"/>
      <c r="AFC12" s="171"/>
      <c r="AFD12" s="171"/>
      <c r="AFE12" s="171"/>
      <c r="AFF12" s="171"/>
      <c r="AFG12" s="171"/>
      <c r="AFH12" s="171"/>
      <c r="AFI12" s="171"/>
      <c r="AFJ12" s="171"/>
      <c r="AFK12" s="171"/>
      <c r="AFL12" s="171"/>
      <c r="AFM12" s="171"/>
      <c r="AFN12" s="171" t="s">
        <v>44</v>
      </c>
      <c r="AFO12" s="171"/>
      <c r="AFP12" s="171"/>
      <c r="AFQ12" s="171"/>
      <c r="AFR12" s="171"/>
      <c r="AFS12" s="171"/>
      <c r="AFT12" s="171"/>
      <c r="AFU12" s="171"/>
      <c r="AFV12" s="171"/>
      <c r="AFW12" s="171"/>
      <c r="AFX12" s="171"/>
      <c r="AFY12" s="171"/>
      <c r="AFZ12" s="171"/>
      <c r="AGA12" s="171"/>
      <c r="AGB12" s="171"/>
      <c r="AGC12" s="171"/>
      <c r="AGD12" s="171"/>
      <c r="AGE12" s="171"/>
      <c r="AGF12" s="171"/>
      <c r="AGG12" s="171"/>
      <c r="AGH12" s="171"/>
      <c r="AGI12" s="171"/>
      <c r="AGJ12" s="171"/>
      <c r="AGK12" s="171"/>
      <c r="AGL12" s="171"/>
      <c r="AGM12" s="171"/>
      <c r="AGN12" s="171"/>
      <c r="AGO12" s="171"/>
      <c r="AGP12" s="171"/>
      <c r="AGQ12" s="171"/>
      <c r="AGR12" s="171"/>
      <c r="AGS12" s="171"/>
      <c r="AGT12" s="171"/>
      <c r="AGU12" s="171"/>
      <c r="AGV12" s="171"/>
      <c r="AGW12" s="171"/>
      <c r="AGX12" s="171"/>
      <c r="AGY12" s="171"/>
      <c r="AGZ12" s="171"/>
      <c r="AHA12" s="171"/>
      <c r="AHB12" s="171"/>
      <c r="AHC12" s="171"/>
      <c r="AHD12" s="171"/>
      <c r="AHE12" s="171"/>
      <c r="AHF12" s="171"/>
      <c r="AHG12" s="171"/>
      <c r="AHH12" s="171"/>
      <c r="AHI12" s="171"/>
      <c r="AHJ12" s="171"/>
      <c r="AHK12" s="171"/>
      <c r="AHL12" s="171"/>
      <c r="AHM12" s="171"/>
      <c r="AHN12" s="171"/>
      <c r="AHO12" s="171"/>
      <c r="AHP12" s="171"/>
      <c r="AHQ12" s="171"/>
      <c r="AHR12" s="171"/>
      <c r="AHS12" s="171"/>
      <c r="AHT12" s="171"/>
      <c r="AHU12" s="171"/>
      <c r="AHV12" s="171" t="s">
        <v>45</v>
      </c>
      <c r="AHW12" s="171"/>
      <c r="AHX12" s="171"/>
      <c r="AHY12" s="171"/>
      <c r="AHZ12" s="171"/>
      <c r="AIA12" s="171"/>
      <c r="AIB12" s="171"/>
      <c r="AIC12" s="171"/>
      <c r="AID12" s="171"/>
      <c r="AIE12" s="171"/>
      <c r="AIF12" s="171"/>
      <c r="AIG12" s="171"/>
      <c r="AIH12" s="171"/>
      <c r="AII12" s="171"/>
      <c r="AIJ12" s="171"/>
      <c r="AIK12" s="171"/>
      <c r="AIL12" s="171"/>
      <c r="AIM12" s="171"/>
      <c r="AIN12" s="171"/>
      <c r="AIO12" s="171"/>
      <c r="AIP12" s="171"/>
      <c r="AIQ12" s="171"/>
      <c r="AIR12" s="171"/>
      <c r="AIS12" s="171"/>
      <c r="AIT12" s="171"/>
      <c r="AIU12" s="171"/>
      <c r="AIV12" s="171"/>
      <c r="AIW12" s="171"/>
      <c r="AIX12" s="171"/>
      <c r="AIY12" s="171"/>
      <c r="AIZ12" s="171"/>
      <c r="AJA12" s="171"/>
      <c r="AJB12" s="171"/>
      <c r="AJC12" s="171"/>
      <c r="AJD12" s="171"/>
      <c r="AJE12" s="171"/>
      <c r="AJF12" s="171"/>
      <c r="AJG12" s="171"/>
      <c r="AJH12" s="171"/>
      <c r="AJI12" s="171"/>
      <c r="AJJ12" s="171"/>
      <c r="AJK12" s="171"/>
      <c r="AJL12" s="171"/>
      <c r="AJM12" s="171"/>
      <c r="AJN12" s="171"/>
      <c r="AJO12" s="171"/>
      <c r="AJP12" s="171"/>
      <c r="AJQ12" s="171"/>
      <c r="AJR12" s="171"/>
      <c r="AJS12" s="171"/>
      <c r="AJT12" s="171"/>
      <c r="AJU12" s="171"/>
      <c r="AJV12" s="171"/>
      <c r="AJW12" s="171"/>
      <c r="AJX12" s="171"/>
      <c r="AJY12" s="171"/>
      <c r="AJZ12" s="171"/>
      <c r="AKA12" s="171"/>
      <c r="AKB12" s="171"/>
      <c r="AKC12" s="171"/>
      <c r="AKD12" s="171" t="s">
        <v>45</v>
      </c>
      <c r="AKE12" s="171"/>
      <c r="AKF12" s="171"/>
      <c r="AKG12" s="171"/>
      <c r="AKH12" s="171"/>
      <c r="AKI12" s="171"/>
      <c r="AKJ12" s="171"/>
      <c r="AKK12" s="171"/>
      <c r="AKL12" s="171"/>
      <c r="AKM12" s="171"/>
      <c r="AKN12" s="171"/>
      <c r="AKO12" s="171"/>
      <c r="AKP12" s="171"/>
      <c r="AKQ12" s="171"/>
      <c r="AKR12" s="171"/>
      <c r="AKS12" s="171"/>
      <c r="AKT12" s="171"/>
      <c r="AKU12" s="171"/>
      <c r="AKV12" s="171"/>
      <c r="AKW12" s="171"/>
      <c r="AKX12" s="171"/>
      <c r="AKY12" s="171"/>
      <c r="AKZ12" s="171"/>
      <c r="ALA12" s="171"/>
      <c r="ALB12" s="171"/>
      <c r="ALC12" s="171"/>
      <c r="ALD12" s="171"/>
      <c r="ALE12" s="171"/>
      <c r="ALF12" s="171"/>
      <c r="ALG12" s="171"/>
      <c r="ALH12" s="171"/>
      <c r="ALI12" s="171"/>
      <c r="ALJ12" s="171"/>
      <c r="ALK12" s="171"/>
      <c r="ALL12" s="171"/>
      <c r="ALM12" s="171"/>
      <c r="ALN12" s="171"/>
      <c r="ALO12" s="171"/>
      <c r="ALP12" s="171"/>
      <c r="ALQ12" s="171"/>
      <c r="ALR12" s="171"/>
      <c r="ALS12" s="171"/>
      <c r="ALT12" s="171"/>
      <c r="ALU12" s="171"/>
      <c r="ALV12" s="171"/>
      <c r="ALW12" s="171"/>
      <c r="ALX12" s="171"/>
      <c r="ALY12" s="171"/>
      <c r="ALZ12" s="171"/>
      <c r="AMA12" s="171"/>
      <c r="AMB12" s="171"/>
      <c r="AMC12" s="171"/>
      <c r="AMD12" s="171"/>
      <c r="AME12" s="171"/>
      <c r="AMF12" s="171"/>
      <c r="AMG12" s="171"/>
      <c r="AMH12" s="171"/>
      <c r="AMI12" s="171"/>
      <c r="AMJ12" s="171"/>
      <c r="AMK12" s="171"/>
      <c r="AML12" s="171" t="s">
        <v>44</v>
      </c>
      <c r="AMM12" s="171"/>
      <c r="AMN12" s="171"/>
      <c r="AMO12" s="171"/>
      <c r="AMP12" s="171"/>
      <c r="AMQ12" s="171"/>
      <c r="AMR12" s="171"/>
      <c r="AMS12" s="171"/>
      <c r="AMT12" s="171"/>
      <c r="AMU12" s="171"/>
      <c r="AMV12" s="171"/>
      <c r="AMW12" s="171"/>
      <c r="AMX12" s="171"/>
      <c r="AMY12" s="171"/>
      <c r="AMZ12" s="171"/>
      <c r="ANA12" s="171"/>
      <c r="ANB12" s="171"/>
      <c r="ANC12" s="171"/>
      <c r="AND12" s="171"/>
      <c r="ANE12" s="171"/>
      <c r="ANF12" s="171"/>
      <c r="ANG12" s="171"/>
      <c r="ANH12" s="171"/>
      <c r="ANI12" s="171"/>
      <c r="ANJ12" s="171"/>
      <c r="ANK12" s="171"/>
      <c r="ANL12" s="171"/>
      <c r="ANM12" s="171"/>
      <c r="ANN12" s="171"/>
      <c r="ANO12" s="171"/>
      <c r="ANP12" s="171"/>
      <c r="ANQ12" s="171"/>
      <c r="ANR12" s="171"/>
      <c r="ANS12" s="171"/>
      <c r="ANT12" s="171"/>
      <c r="ANU12" s="171"/>
      <c r="ANV12" s="171"/>
      <c r="ANW12" s="171"/>
      <c r="ANX12" s="171"/>
      <c r="ANY12" s="171"/>
      <c r="ANZ12" s="171"/>
      <c r="AOA12" s="171"/>
      <c r="AOB12" s="171"/>
      <c r="AOC12" s="171"/>
      <c r="AOD12" s="171"/>
      <c r="AOE12" s="171"/>
      <c r="AOF12" s="171"/>
      <c r="AOG12" s="171"/>
      <c r="AOH12" s="171"/>
      <c r="AOI12" s="171"/>
      <c r="AOJ12" s="171"/>
      <c r="AOK12" s="171"/>
      <c r="AOL12" s="171"/>
      <c r="AOM12" s="171"/>
      <c r="AON12" s="171"/>
      <c r="AOO12" s="171"/>
      <c r="AOP12" s="171"/>
      <c r="AOQ12" s="171"/>
      <c r="AOR12" s="171"/>
      <c r="AOS12" s="171"/>
      <c r="AOT12" s="171" t="s">
        <v>45</v>
      </c>
      <c r="AOU12" s="171"/>
      <c r="AOV12" s="171"/>
      <c r="AOW12" s="171"/>
      <c r="AOX12" s="171"/>
      <c r="AOY12" s="171"/>
      <c r="AOZ12" s="171"/>
      <c r="APA12" s="171"/>
      <c r="APB12" s="171"/>
      <c r="APC12" s="171"/>
      <c r="APD12" s="171"/>
      <c r="APE12" s="171"/>
      <c r="APF12" s="171"/>
      <c r="APG12" s="171"/>
      <c r="APH12" s="171"/>
      <c r="API12" s="171"/>
      <c r="APJ12" s="171"/>
      <c r="APK12" s="171"/>
      <c r="APL12" s="171"/>
      <c r="APM12" s="171"/>
      <c r="APN12" s="171"/>
      <c r="APO12" s="171"/>
      <c r="APP12" s="171"/>
      <c r="APQ12" s="171"/>
      <c r="APR12" s="171"/>
      <c r="APS12" s="171"/>
      <c r="APT12" s="171"/>
      <c r="APU12" s="171"/>
      <c r="APV12" s="171"/>
      <c r="APW12" s="171"/>
      <c r="APX12" s="171"/>
      <c r="APY12" s="171"/>
      <c r="APZ12" s="171"/>
      <c r="AQA12" s="171"/>
      <c r="AQB12" s="171"/>
      <c r="AQC12" s="171"/>
      <c r="AQD12" s="171"/>
      <c r="AQE12" s="171"/>
      <c r="AQF12" s="171"/>
      <c r="AQG12" s="171"/>
      <c r="AQH12" s="171"/>
      <c r="AQI12" s="171"/>
      <c r="AQJ12" s="171"/>
      <c r="AQK12" s="171"/>
      <c r="AQL12" s="171"/>
      <c r="AQM12" s="171"/>
      <c r="AQN12" s="171"/>
      <c r="AQO12" s="171"/>
      <c r="AQP12" s="171"/>
      <c r="AQQ12" s="171"/>
      <c r="AQR12" s="171"/>
      <c r="AQS12" s="171"/>
      <c r="AQT12" s="171"/>
      <c r="AQU12" s="171"/>
      <c r="AQV12" s="171"/>
      <c r="AQW12" s="171"/>
      <c r="AQX12" s="171"/>
      <c r="AQY12" s="171"/>
      <c r="AQZ12" s="171"/>
      <c r="ARA12" s="171"/>
      <c r="ARB12" s="171" t="s">
        <v>44</v>
      </c>
      <c r="ARC12" s="171"/>
      <c r="ARD12" s="171"/>
      <c r="ARE12" s="171"/>
      <c r="ARF12" s="171"/>
      <c r="ARG12" s="171"/>
      <c r="ARH12" s="171"/>
      <c r="ARI12" s="171"/>
      <c r="ARJ12" s="171"/>
      <c r="ARK12" s="171"/>
      <c r="ARL12" s="171"/>
      <c r="ARM12" s="171"/>
      <c r="ARN12" s="171"/>
      <c r="ARO12" s="171"/>
      <c r="ARP12" s="171"/>
      <c r="ARQ12" s="171"/>
      <c r="ARR12" s="171"/>
      <c r="ARS12" s="171"/>
      <c r="ART12" s="171"/>
      <c r="ARU12" s="171"/>
      <c r="ARV12" s="171"/>
      <c r="ARW12" s="171"/>
      <c r="ARX12" s="171"/>
      <c r="ARY12" s="171"/>
      <c r="ARZ12" s="171"/>
      <c r="ASA12" s="171"/>
      <c r="ASB12" s="171"/>
      <c r="ASC12" s="171"/>
      <c r="ASD12" s="171"/>
      <c r="ASE12" s="171"/>
      <c r="ASF12" s="171"/>
      <c r="ASG12" s="171"/>
      <c r="ASH12" s="171"/>
      <c r="ASI12" s="171"/>
      <c r="ASJ12" s="171"/>
      <c r="ASK12" s="171"/>
      <c r="ASL12" s="171"/>
      <c r="ASM12" s="171"/>
      <c r="ASN12" s="171"/>
      <c r="ASO12" s="171"/>
      <c r="ASP12" s="171"/>
      <c r="ASQ12" s="171"/>
      <c r="ASR12" s="171"/>
      <c r="ASS12" s="171"/>
      <c r="AST12" s="171"/>
      <c r="ASU12" s="171"/>
      <c r="ASV12" s="171"/>
      <c r="ASW12" s="171"/>
      <c r="ASX12" s="171"/>
      <c r="ASY12" s="171"/>
      <c r="ASZ12" s="171"/>
      <c r="ATA12" s="171"/>
      <c r="ATB12" s="171"/>
      <c r="ATC12" s="171"/>
      <c r="ATD12" s="171"/>
      <c r="ATE12" s="171"/>
      <c r="ATF12" s="171"/>
      <c r="ATG12" s="171"/>
      <c r="ATH12" s="171"/>
      <c r="ATI12" s="171"/>
      <c r="ATJ12" s="171" t="s">
        <v>45</v>
      </c>
      <c r="ATK12" s="171"/>
      <c r="ATL12" s="171"/>
      <c r="ATM12" s="171"/>
      <c r="ATN12" s="171"/>
      <c r="ATO12" s="171"/>
      <c r="ATP12" s="171"/>
      <c r="ATQ12" s="171"/>
      <c r="ATR12" s="171"/>
      <c r="ATS12" s="171"/>
      <c r="ATT12" s="171"/>
      <c r="ATU12" s="171"/>
      <c r="ATV12" s="171"/>
      <c r="ATW12" s="171"/>
      <c r="ATX12" s="171"/>
      <c r="ATY12" s="171"/>
      <c r="ATZ12" s="171"/>
      <c r="AUA12" s="171"/>
      <c r="AUB12" s="171"/>
      <c r="AUC12" s="171"/>
      <c r="AUD12" s="171"/>
      <c r="AUE12" s="171"/>
      <c r="AUF12" s="171"/>
      <c r="AUG12" s="171"/>
      <c r="AUH12" s="171"/>
      <c r="AUI12" s="171"/>
      <c r="AUJ12" s="171"/>
      <c r="AUK12" s="171"/>
      <c r="AUL12" s="171"/>
      <c r="AUM12" s="171"/>
      <c r="AUN12" s="171"/>
      <c r="AUO12" s="171"/>
      <c r="AUP12" s="171"/>
      <c r="AUQ12" s="171"/>
      <c r="AUR12" s="171"/>
      <c r="AUS12" s="171"/>
      <c r="AUT12" s="171"/>
      <c r="AUU12" s="171"/>
      <c r="AUV12" s="171"/>
      <c r="AUW12" s="171"/>
      <c r="AUX12" s="171"/>
      <c r="AUY12" s="171"/>
      <c r="AUZ12" s="171"/>
      <c r="AVA12" s="171"/>
      <c r="AVB12" s="171"/>
      <c r="AVC12" s="171"/>
      <c r="AVD12" s="171"/>
      <c r="AVE12" s="171"/>
      <c r="AVF12" s="171"/>
      <c r="AVG12" s="171"/>
      <c r="AVH12" s="171"/>
      <c r="AVI12" s="171"/>
      <c r="AVJ12" s="171"/>
      <c r="AVK12" s="171"/>
      <c r="AVL12" s="171"/>
      <c r="AVM12" s="171"/>
      <c r="AVN12" s="171"/>
      <c r="AVO12" s="171"/>
      <c r="AVP12" s="171"/>
      <c r="AVQ12" s="171"/>
      <c r="AVR12" s="171" t="s">
        <v>44</v>
      </c>
      <c r="AVS12" s="171"/>
      <c r="AVT12" s="171"/>
      <c r="AVU12" s="171"/>
      <c r="AVV12" s="171"/>
      <c r="AVW12" s="171"/>
      <c r="AVX12" s="171"/>
      <c r="AVY12" s="171"/>
      <c r="AVZ12" s="171"/>
      <c r="AWA12" s="171"/>
      <c r="AWB12" s="171"/>
      <c r="AWC12" s="171"/>
      <c r="AWD12" s="171"/>
      <c r="AWE12" s="171"/>
      <c r="AWF12" s="171"/>
      <c r="AWG12" s="171"/>
      <c r="AWH12" s="171"/>
      <c r="AWI12" s="171"/>
      <c r="AWJ12" s="171"/>
      <c r="AWK12" s="171"/>
      <c r="AWL12" s="171"/>
      <c r="AWM12" s="171"/>
      <c r="AWN12" s="171"/>
      <c r="AWO12" s="171"/>
      <c r="AWP12" s="171"/>
      <c r="AWQ12" s="171"/>
      <c r="AWR12" s="171"/>
      <c r="AWS12" s="171"/>
      <c r="AWT12" s="171"/>
      <c r="AWU12" s="171"/>
      <c r="AWV12" s="171"/>
      <c r="AWW12" s="171"/>
      <c r="AWX12" s="171"/>
      <c r="AWY12" s="171"/>
      <c r="AWZ12" s="171"/>
      <c r="AXA12" s="171"/>
      <c r="AXB12" s="171"/>
      <c r="AXC12" s="171"/>
      <c r="AXD12" s="171"/>
      <c r="AXE12" s="171"/>
      <c r="AXF12" s="171"/>
      <c r="AXG12" s="171"/>
      <c r="AXH12" s="171"/>
      <c r="AXI12" s="171"/>
      <c r="AXJ12" s="171"/>
      <c r="AXK12" s="171"/>
      <c r="AXL12" s="171"/>
      <c r="AXM12" s="171"/>
      <c r="AXN12" s="171"/>
      <c r="AXO12" s="171"/>
      <c r="AXP12" s="171"/>
      <c r="AXQ12" s="171"/>
      <c r="AXR12" s="171"/>
      <c r="AXS12" s="171"/>
      <c r="AXT12" s="171"/>
      <c r="AXU12" s="171"/>
      <c r="AXV12" s="171"/>
      <c r="AXW12" s="171"/>
      <c r="AXX12" s="171"/>
      <c r="AXY12" s="171"/>
      <c r="AXZ12" s="171" t="s">
        <v>45</v>
      </c>
      <c r="AYA12" s="171"/>
      <c r="AYB12" s="171"/>
      <c r="AYC12" s="171"/>
      <c r="AYD12" s="171"/>
      <c r="AYE12" s="171"/>
      <c r="AYF12" s="171"/>
      <c r="AYG12" s="171"/>
      <c r="AYH12" s="171"/>
      <c r="AYI12" s="171"/>
      <c r="AYJ12" s="171"/>
      <c r="AYK12" s="171"/>
      <c r="AYL12" s="171"/>
      <c r="AYM12" s="171"/>
      <c r="AYN12" s="171"/>
      <c r="AYO12" s="171"/>
      <c r="AYP12" s="171"/>
      <c r="AYQ12" s="171"/>
      <c r="AYR12" s="171"/>
      <c r="AYS12" s="171"/>
      <c r="AYT12" s="171"/>
      <c r="AYU12" s="171"/>
      <c r="AYV12" s="171"/>
      <c r="AYW12" s="171"/>
      <c r="AYX12" s="171"/>
      <c r="AYY12" s="171"/>
      <c r="AYZ12" s="171"/>
      <c r="AZA12" s="171"/>
      <c r="AZB12" s="171"/>
      <c r="AZC12" s="171"/>
      <c r="AZD12" s="171"/>
      <c r="AZE12" s="171"/>
      <c r="AZF12" s="171"/>
      <c r="AZG12" s="171"/>
      <c r="AZH12" s="171"/>
      <c r="AZI12" s="171"/>
      <c r="AZJ12" s="171"/>
      <c r="AZK12" s="171"/>
      <c r="AZL12" s="171"/>
      <c r="AZM12" s="171"/>
      <c r="AZN12" s="171"/>
      <c r="AZO12" s="171"/>
      <c r="AZP12" s="171"/>
      <c r="AZQ12" s="171"/>
      <c r="AZR12" s="171"/>
      <c r="AZS12" s="171"/>
      <c r="AZT12" s="171"/>
      <c r="AZU12" s="171"/>
      <c r="AZV12" s="171"/>
      <c r="AZW12" s="171"/>
      <c r="AZX12" s="171"/>
      <c r="AZY12" s="171"/>
      <c r="AZZ12" s="171"/>
      <c r="BAA12" s="171"/>
      <c r="BAB12" s="171"/>
      <c r="BAC12" s="171"/>
      <c r="BAD12" s="171"/>
      <c r="BAE12" s="171"/>
      <c r="BAF12" s="171"/>
      <c r="BAG12" s="171"/>
      <c r="BAH12" s="171" t="s">
        <v>44</v>
      </c>
      <c r="BAI12" s="171"/>
      <c r="BAJ12" s="171"/>
      <c r="BAK12" s="171"/>
      <c r="BAL12" s="171"/>
      <c r="BAM12" s="171"/>
      <c r="BAN12" s="171"/>
      <c r="BAO12" s="171"/>
      <c r="BAP12" s="171"/>
      <c r="BAQ12" s="171"/>
      <c r="BAR12" s="171"/>
      <c r="BAS12" s="171"/>
      <c r="BAT12" s="171"/>
      <c r="BAU12" s="171"/>
      <c r="BAV12" s="171"/>
      <c r="BAW12" s="171"/>
      <c r="BAX12" s="171"/>
      <c r="BAY12" s="171"/>
      <c r="BAZ12" s="171"/>
      <c r="BBA12" s="171"/>
      <c r="BBB12" s="171"/>
      <c r="BBC12" s="171"/>
      <c r="BBD12" s="171"/>
      <c r="BBE12" s="171"/>
      <c r="BBF12" s="171"/>
      <c r="BBG12" s="171"/>
      <c r="BBH12" s="171"/>
      <c r="BBI12" s="171"/>
      <c r="BBJ12" s="171"/>
      <c r="BBK12" s="171"/>
      <c r="BBL12" s="171"/>
      <c r="BBM12" s="171"/>
      <c r="BBN12" s="171"/>
      <c r="BBO12" s="171"/>
      <c r="BBP12" s="171"/>
      <c r="BBQ12" s="171"/>
      <c r="BBR12" s="171"/>
      <c r="BBS12" s="171"/>
      <c r="BBT12" s="171"/>
      <c r="BBU12" s="171"/>
      <c r="BBV12" s="171"/>
      <c r="BBW12" s="171"/>
      <c r="BBX12" s="171"/>
      <c r="BBY12" s="171"/>
      <c r="BBZ12" s="171"/>
      <c r="BCA12" s="171"/>
      <c r="BCB12" s="171"/>
      <c r="BCC12" s="171"/>
      <c r="BCD12" s="171"/>
      <c r="BCE12" s="171"/>
      <c r="BCF12" s="171"/>
      <c r="BCG12" s="171"/>
      <c r="BCH12" s="171"/>
      <c r="BCI12" s="171"/>
      <c r="BCJ12" s="171"/>
      <c r="BCK12" s="171"/>
      <c r="BCL12" s="171"/>
      <c r="BCM12" s="171"/>
      <c r="BCN12" s="171"/>
      <c r="BCO12" s="171"/>
      <c r="BCP12" s="171" t="s">
        <v>45</v>
      </c>
      <c r="BCQ12" s="171"/>
      <c r="BCR12" s="171"/>
      <c r="BCS12" s="171"/>
      <c r="BCT12" s="171"/>
      <c r="BCU12" s="171"/>
      <c r="BCV12" s="171"/>
      <c r="BCW12" s="171"/>
      <c r="BCX12" s="171"/>
      <c r="BCY12" s="171"/>
      <c r="BCZ12" s="171"/>
      <c r="BDA12" s="171"/>
      <c r="BDB12" s="171"/>
      <c r="BDC12" s="171"/>
      <c r="BDD12" s="171"/>
      <c r="BDE12" s="171"/>
      <c r="BDF12" s="171"/>
      <c r="BDG12" s="171"/>
      <c r="BDH12" s="171"/>
      <c r="BDI12" s="171"/>
      <c r="BDJ12" s="171"/>
      <c r="BDK12" s="171"/>
      <c r="BDL12" s="171"/>
      <c r="BDM12" s="171"/>
      <c r="BDN12" s="171"/>
      <c r="BDO12" s="171"/>
      <c r="BDP12" s="171"/>
      <c r="BDQ12" s="171"/>
      <c r="BDR12" s="171"/>
      <c r="BDS12" s="171"/>
      <c r="BDT12" s="171"/>
      <c r="BDU12" s="171"/>
      <c r="BDV12" s="171"/>
      <c r="BDW12" s="171"/>
      <c r="BDX12" s="171"/>
      <c r="BDY12" s="171"/>
      <c r="BDZ12" s="171"/>
      <c r="BEA12" s="171"/>
      <c r="BEB12" s="171"/>
      <c r="BEC12" s="171"/>
      <c r="BED12" s="171"/>
      <c r="BEE12" s="171"/>
      <c r="BEF12" s="171"/>
      <c r="BEG12" s="171"/>
      <c r="BEH12" s="171"/>
      <c r="BEI12" s="171"/>
      <c r="BEJ12" s="171"/>
      <c r="BEK12" s="171"/>
      <c r="BEL12" s="171"/>
      <c r="BEM12" s="171"/>
      <c r="BEN12" s="171"/>
      <c r="BEO12" s="171"/>
      <c r="BEP12" s="171"/>
      <c r="BEQ12" s="171"/>
      <c r="BER12" s="171"/>
      <c r="BES12" s="171"/>
      <c r="BET12" s="171"/>
      <c r="BEU12" s="171"/>
      <c r="BEV12" s="171"/>
      <c r="BEW12" s="171"/>
      <c r="BEX12" s="171" t="s">
        <v>44</v>
      </c>
      <c r="BEY12" s="171"/>
      <c r="BEZ12" s="171"/>
      <c r="BFA12" s="171"/>
      <c r="BFB12" s="171"/>
      <c r="BFC12" s="171"/>
      <c r="BFD12" s="171"/>
      <c r="BFE12" s="171"/>
      <c r="BFF12" s="171"/>
      <c r="BFG12" s="171"/>
      <c r="BFH12" s="171"/>
      <c r="BFI12" s="171"/>
      <c r="BFJ12" s="171"/>
      <c r="BFK12" s="171"/>
      <c r="BFL12" s="171"/>
      <c r="BFM12" s="171"/>
      <c r="BFN12" s="171"/>
      <c r="BFO12" s="171"/>
      <c r="BFP12" s="171"/>
      <c r="BFQ12" s="171"/>
      <c r="BFR12" s="171"/>
      <c r="BFS12" s="171"/>
      <c r="BFT12" s="171"/>
      <c r="BFU12" s="171"/>
      <c r="BFV12" s="171"/>
      <c r="BFW12" s="171"/>
      <c r="BFX12" s="171"/>
      <c r="BFY12" s="171"/>
      <c r="BFZ12" s="171"/>
      <c r="BGA12" s="171"/>
      <c r="BGB12" s="171"/>
      <c r="BGC12" s="171"/>
      <c r="BGD12" s="171"/>
      <c r="BGE12" s="171"/>
      <c r="BGF12" s="171"/>
      <c r="BGG12" s="171"/>
      <c r="BGH12" s="171"/>
      <c r="BGI12" s="171"/>
      <c r="BGJ12" s="171"/>
      <c r="BGK12" s="171"/>
      <c r="BGL12" s="171"/>
      <c r="BGM12" s="171"/>
      <c r="BGN12" s="171"/>
      <c r="BGO12" s="171"/>
      <c r="BGP12" s="171"/>
      <c r="BGQ12" s="171"/>
      <c r="BGR12" s="171"/>
      <c r="BGS12" s="171"/>
      <c r="BGT12" s="171"/>
      <c r="BGU12" s="171"/>
      <c r="BGV12" s="171"/>
      <c r="BGW12" s="171"/>
      <c r="BGX12" s="171"/>
      <c r="BGY12" s="171"/>
      <c r="BGZ12" s="171"/>
      <c r="BHA12" s="171"/>
      <c r="BHB12" s="171"/>
      <c r="BHC12" s="171"/>
      <c r="BHD12" s="171"/>
      <c r="BHE12" s="171"/>
      <c r="BHF12" s="171" t="s">
        <v>45</v>
      </c>
      <c r="BHG12" s="171"/>
      <c r="BHH12" s="171"/>
      <c r="BHI12" s="171"/>
      <c r="BHJ12" s="171"/>
      <c r="BHK12" s="171"/>
      <c r="BHL12" s="171"/>
      <c r="BHM12" s="171"/>
      <c r="BHN12" s="171"/>
      <c r="BHO12" s="171"/>
      <c r="BHP12" s="171"/>
      <c r="BHQ12" s="171"/>
      <c r="BHR12" s="171"/>
      <c r="BHS12" s="171"/>
      <c r="BHT12" s="171"/>
      <c r="BHU12" s="171"/>
      <c r="BHV12" s="171"/>
      <c r="BHW12" s="171"/>
      <c r="BHX12" s="171"/>
      <c r="BHY12" s="171"/>
      <c r="BHZ12" s="171"/>
      <c r="BIA12" s="171"/>
      <c r="BIB12" s="171"/>
      <c r="BIC12" s="171"/>
      <c r="BID12" s="171"/>
      <c r="BIE12" s="171"/>
      <c r="BIF12" s="171"/>
      <c r="BIG12" s="171"/>
      <c r="BIH12" s="171"/>
      <c r="BII12" s="171"/>
      <c r="BIJ12" s="171"/>
      <c r="BIK12" s="171"/>
      <c r="BIL12" s="171"/>
      <c r="BIM12" s="171"/>
      <c r="BIN12" s="171"/>
      <c r="BIO12" s="171"/>
      <c r="BIP12" s="171"/>
      <c r="BIQ12" s="171"/>
      <c r="BIR12" s="171"/>
      <c r="BIS12" s="171"/>
      <c r="BIT12" s="171"/>
      <c r="BIU12" s="171"/>
      <c r="BIV12" s="171"/>
      <c r="BIW12" s="171"/>
      <c r="BIX12" s="171"/>
      <c r="BIY12" s="171"/>
      <c r="BIZ12" s="171"/>
      <c r="BJA12" s="171"/>
      <c r="BJB12" s="171"/>
      <c r="BJC12" s="171"/>
      <c r="BJD12" s="171"/>
      <c r="BJE12" s="171"/>
      <c r="BJF12" s="171"/>
      <c r="BJG12" s="171"/>
      <c r="BJH12" s="171"/>
      <c r="BJI12" s="171"/>
      <c r="BJJ12" s="171"/>
      <c r="BJK12" s="171"/>
      <c r="BJL12" s="171"/>
      <c r="BJM12" s="171"/>
      <c r="BJN12" s="171" t="s">
        <v>44</v>
      </c>
      <c r="BJO12" s="171"/>
      <c r="BJP12" s="171"/>
      <c r="BJQ12" s="171"/>
      <c r="BJR12" s="171"/>
      <c r="BJS12" s="171"/>
      <c r="BJT12" s="171"/>
      <c r="BJU12" s="171"/>
      <c r="BJV12" s="171"/>
      <c r="BJW12" s="171"/>
      <c r="BJX12" s="171"/>
      <c r="BJY12" s="171"/>
      <c r="BJZ12" s="171"/>
      <c r="BKA12" s="171"/>
      <c r="BKB12" s="171"/>
      <c r="BKC12" s="171"/>
      <c r="BKD12" s="171"/>
      <c r="BKE12" s="171"/>
      <c r="BKF12" s="171"/>
      <c r="BKG12" s="171"/>
      <c r="BKH12" s="171"/>
      <c r="BKI12" s="171"/>
      <c r="BKJ12" s="171"/>
      <c r="BKK12" s="171"/>
      <c r="BKL12" s="171"/>
      <c r="BKM12" s="171"/>
      <c r="BKN12" s="171"/>
      <c r="BKO12" s="171"/>
      <c r="BKP12" s="171"/>
      <c r="BKQ12" s="171"/>
      <c r="BKR12" s="171"/>
      <c r="BKS12" s="171"/>
      <c r="BKT12" s="171"/>
      <c r="BKU12" s="171"/>
      <c r="BKV12" s="171"/>
      <c r="BKW12" s="171"/>
      <c r="BKX12" s="171"/>
      <c r="BKY12" s="171"/>
      <c r="BKZ12" s="171"/>
      <c r="BLA12" s="171"/>
      <c r="BLB12" s="171"/>
      <c r="BLC12" s="171"/>
      <c r="BLD12" s="171"/>
      <c r="BLE12" s="171"/>
      <c r="BLF12" s="171"/>
      <c r="BLG12" s="171"/>
      <c r="BLH12" s="171"/>
      <c r="BLI12" s="171"/>
      <c r="BLJ12" s="171"/>
      <c r="BLK12" s="171"/>
      <c r="BLL12" s="171"/>
      <c r="BLM12" s="171"/>
      <c r="BLN12" s="171"/>
      <c r="BLO12" s="171"/>
      <c r="BLP12" s="171"/>
      <c r="BLQ12" s="171"/>
      <c r="BLR12" s="171"/>
      <c r="BLS12" s="171"/>
      <c r="BLT12" s="171"/>
      <c r="BLU12" s="171"/>
    </row>
    <row r="13" spans="1:1744" ht="42.75" customHeight="1" thickBot="1" x14ac:dyDescent="0.3">
      <c r="B13" s="96"/>
      <c r="C13" s="183" t="s">
        <v>7</v>
      </c>
      <c r="D13" s="144"/>
      <c r="E13" s="185" t="s">
        <v>38</v>
      </c>
      <c r="F13" s="172" t="s">
        <v>8</v>
      </c>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3"/>
      <c r="BI13" s="173"/>
      <c r="BJ13" s="173"/>
      <c r="BK13" s="173"/>
      <c r="BL13" s="173"/>
      <c r="BM13" s="174"/>
      <c r="BN13" s="172" t="s">
        <v>27</v>
      </c>
      <c r="BO13" s="173"/>
      <c r="BP13" s="173"/>
      <c r="BQ13" s="173"/>
      <c r="BR13" s="173"/>
      <c r="BS13" s="173"/>
      <c r="BT13" s="173"/>
      <c r="BU13" s="173"/>
      <c r="BV13" s="173"/>
      <c r="BW13" s="173"/>
      <c r="BX13" s="173"/>
      <c r="BY13" s="173"/>
      <c r="BZ13" s="173"/>
      <c r="CA13" s="173"/>
      <c r="CB13" s="173"/>
      <c r="CC13" s="173"/>
      <c r="CD13" s="173"/>
      <c r="CE13" s="173"/>
      <c r="CF13" s="173"/>
      <c r="CG13" s="173"/>
      <c r="CH13" s="173"/>
      <c r="CI13" s="173"/>
      <c r="CJ13" s="173"/>
      <c r="CK13" s="173"/>
      <c r="CL13" s="173"/>
      <c r="CM13" s="173"/>
      <c r="CN13" s="173"/>
      <c r="CO13" s="173"/>
      <c r="CP13" s="173"/>
      <c r="CQ13" s="173"/>
      <c r="CR13" s="173"/>
      <c r="CS13" s="173"/>
      <c r="CT13" s="173"/>
      <c r="CU13" s="173"/>
      <c r="CV13" s="173"/>
      <c r="CW13" s="173"/>
      <c r="CX13" s="173"/>
      <c r="CY13" s="173"/>
      <c r="CZ13" s="173"/>
      <c r="DA13" s="173"/>
      <c r="DB13" s="173"/>
      <c r="DC13" s="173"/>
      <c r="DD13" s="173"/>
      <c r="DE13" s="173"/>
      <c r="DF13" s="173"/>
      <c r="DG13" s="173"/>
      <c r="DH13" s="173"/>
      <c r="DI13" s="173"/>
      <c r="DJ13" s="173"/>
      <c r="DK13" s="173"/>
      <c r="DL13" s="173"/>
      <c r="DM13" s="173"/>
      <c r="DN13" s="173"/>
      <c r="DO13" s="173"/>
      <c r="DP13" s="173"/>
      <c r="DQ13" s="173"/>
      <c r="DR13" s="173"/>
      <c r="DS13" s="173"/>
      <c r="DT13" s="173"/>
      <c r="DU13" s="174"/>
      <c r="DV13" s="172" t="s">
        <v>18</v>
      </c>
      <c r="DW13" s="173"/>
      <c r="DX13" s="173"/>
      <c r="DY13" s="173"/>
      <c r="DZ13" s="173"/>
      <c r="EA13" s="173"/>
      <c r="EB13" s="173"/>
      <c r="EC13" s="173"/>
      <c r="ED13" s="173"/>
      <c r="EE13" s="173"/>
      <c r="EF13" s="173"/>
      <c r="EG13" s="173"/>
      <c r="EH13" s="173"/>
      <c r="EI13" s="173"/>
      <c r="EJ13" s="173"/>
      <c r="EK13" s="173"/>
      <c r="EL13" s="173"/>
      <c r="EM13" s="173"/>
      <c r="EN13" s="173"/>
      <c r="EO13" s="173"/>
      <c r="EP13" s="173"/>
      <c r="EQ13" s="173"/>
      <c r="ER13" s="173"/>
      <c r="ES13" s="173"/>
      <c r="ET13" s="173"/>
      <c r="EU13" s="173"/>
      <c r="EV13" s="173"/>
      <c r="EW13" s="173"/>
      <c r="EX13" s="173"/>
      <c r="EY13" s="173"/>
      <c r="EZ13" s="173"/>
      <c r="FA13" s="173"/>
      <c r="FB13" s="173"/>
      <c r="FC13" s="173"/>
      <c r="FD13" s="173"/>
      <c r="FE13" s="173"/>
      <c r="FF13" s="173"/>
      <c r="FG13" s="173"/>
      <c r="FH13" s="173"/>
      <c r="FI13" s="173"/>
      <c r="FJ13" s="173"/>
      <c r="FK13" s="173"/>
      <c r="FL13" s="173"/>
      <c r="FM13" s="173"/>
      <c r="FN13" s="173"/>
      <c r="FO13" s="173"/>
      <c r="FP13" s="173"/>
      <c r="FQ13" s="173"/>
      <c r="FR13" s="173"/>
      <c r="FS13" s="173"/>
      <c r="FT13" s="173"/>
      <c r="FU13" s="173"/>
      <c r="FV13" s="173"/>
      <c r="FW13" s="173"/>
      <c r="FX13" s="173"/>
      <c r="FY13" s="173"/>
      <c r="FZ13" s="173"/>
      <c r="GA13" s="173"/>
      <c r="GB13" s="173"/>
      <c r="GC13" s="174"/>
      <c r="GD13" s="172" t="s">
        <v>84</v>
      </c>
      <c r="GE13" s="173"/>
      <c r="GF13" s="173"/>
      <c r="GG13" s="173"/>
      <c r="GH13" s="173"/>
      <c r="GI13" s="173"/>
      <c r="GJ13" s="173"/>
      <c r="GK13" s="173"/>
      <c r="GL13" s="173"/>
      <c r="GM13" s="173"/>
      <c r="GN13" s="173"/>
      <c r="GO13" s="173"/>
      <c r="GP13" s="173"/>
      <c r="GQ13" s="173"/>
      <c r="GR13" s="173"/>
      <c r="GS13" s="173"/>
      <c r="GT13" s="173"/>
      <c r="GU13" s="173"/>
      <c r="GV13" s="173"/>
      <c r="GW13" s="173"/>
      <c r="GX13" s="173"/>
      <c r="GY13" s="173"/>
      <c r="GZ13" s="173"/>
      <c r="HA13" s="173"/>
      <c r="HB13" s="173"/>
      <c r="HC13" s="173"/>
      <c r="HD13" s="173"/>
      <c r="HE13" s="173"/>
      <c r="HF13" s="173"/>
      <c r="HG13" s="173"/>
      <c r="HH13" s="173"/>
      <c r="HI13" s="173"/>
      <c r="HJ13" s="173"/>
      <c r="HK13" s="173"/>
      <c r="HL13" s="173"/>
      <c r="HM13" s="173"/>
      <c r="HN13" s="173"/>
      <c r="HO13" s="173"/>
      <c r="HP13" s="173"/>
      <c r="HQ13" s="173"/>
      <c r="HR13" s="173"/>
      <c r="HS13" s="173"/>
      <c r="HT13" s="173"/>
      <c r="HU13" s="173"/>
      <c r="HV13" s="173"/>
      <c r="HW13" s="173"/>
      <c r="HX13" s="173"/>
      <c r="HY13" s="173"/>
      <c r="HZ13" s="173"/>
      <c r="IA13" s="173"/>
      <c r="IB13" s="173"/>
      <c r="IC13" s="173"/>
      <c r="ID13" s="173"/>
      <c r="IE13" s="173"/>
      <c r="IF13" s="173"/>
      <c r="IG13" s="173"/>
      <c r="IH13" s="173"/>
      <c r="II13" s="173"/>
      <c r="IJ13" s="173"/>
      <c r="IK13" s="174"/>
      <c r="IL13" s="172" t="s">
        <v>82</v>
      </c>
      <c r="IM13" s="173"/>
      <c r="IN13" s="173"/>
      <c r="IO13" s="173"/>
      <c r="IP13" s="173"/>
      <c r="IQ13" s="173"/>
      <c r="IR13" s="173"/>
      <c r="IS13" s="173"/>
      <c r="IT13" s="173"/>
      <c r="IU13" s="173"/>
      <c r="IV13" s="173"/>
      <c r="IW13" s="173"/>
      <c r="IX13" s="173"/>
      <c r="IY13" s="173"/>
      <c r="IZ13" s="173"/>
      <c r="JA13" s="173"/>
      <c r="JB13" s="173"/>
      <c r="JC13" s="173"/>
      <c r="JD13" s="173"/>
      <c r="JE13" s="173"/>
      <c r="JF13" s="173"/>
      <c r="JG13" s="173"/>
      <c r="JH13" s="173"/>
      <c r="JI13" s="173"/>
      <c r="JJ13" s="173"/>
      <c r="JK13" s="173"/>
      <c r="JL13" s="173"/>
      <c r="JM13" s="173"/>
      <c r="JN13" s="173"/>
      <c r="JO13" s="173"/>
      <c r="JP13" s="173"/>
      <c r="JQ13" s="173"/>
      <c r="JR13" s="173"/>
      <c r="JS13" s="173"/>
      <c r="JT13" s="173"/>
      <c r="JU13" s="173"/>
      <c r="JV13" s="173"/>
      <c r="JW13" s="173"/>
      <c r="JX13" s="173"/>
      <c r="JY13" s="173"/>
      <c r="JZ13" s="173"/>
      <c r="KA13" s="173"/>
      <c r="KB13" s="173"/>
      <c r="KC13" s="173"/>
      <c r="KD13" s="173"/>
      <c r="KE13" s="173"/>
      <c r="KF13" s="173"/>
      <c r="KG13" s="173"/>
      <c r="KH13" s="173"/>
      <c r="KI13" s="173"/>
      <c r="KJ13" s="173"/>
      <c r="KK13" s="173"/>
      <c r="KL13" s="173"/>
      <c r="KM13" s="173"/>
      <c r="KN13" s="173"/>
      <c r="KO13" s="173"/>
      <c r="KP13" s="173"/>
      <c r="KQ13" s="173"/>
      <c r="KR13" s="173"/>
      <c r="KS13" s="174"/>
      <c r="KT13" s="172" t="s">
        <v>80</v>
      </c>
      <c r="KU13" s="173"/>
      <c r="KV13" s="173"/>
      <c r="KW13" s="173"/>
      <c r="KX13" s="173"/>
      <c r="KY13" s="173"/>
      <c r="KZ13" s="173"/>
      <c r="LA13" s="173"/>
      <c r="LB13" s="173"/>
      <c r="LC13" s="173"/>
      <c r="LD13" s="173"/>
      <c r="LE13" s="173"/>
      <c r="LF13" s="173"/>
      <c r="LG13" s="173"/>
      <c r="LH13" s="173"/>
      <c r="LI13" s="173"/>
      <c r="LJ13" s="173"/>
      <c r="LK13" s="173"/>
      <c r="LL13" s="173"/>
      <c r="LM13" s="173"/>
      <c r="LN13" s="173"/>
      <c r="LO13" s="173"/>
      <c r="LP13" s="173"/>
      <c r="LQ13" s="173"/>
      <c r="LR13" s="173"/>
      <c r="LS13" s="173"/>
      <c r="LT13" s="173"/>
      <c r="LU13" s="173"/>
      <c r="LV13" s="173"/>
      <c r="LW13" s="173"/>
      <c r="LX13" s="173"/>
      <c r="LY13" s="173"/>
      <c r="LZ13" s="173"/>
      <c r="MA13" s="173"/>
      <c r="MB13" s="173"/>
      <c r="MC13" s="173"/>
      <c r="MD13" s="173"/>
      <c r="ME13" s="173"/>
      <c r="MF13" s="173"/>
      <c r="MG13" s="173"/>
      <c r="MH13" s="173"/>
      <c r="MI13" s="173"/>
      <c r="MJ13" s="173"/>
      <c r="MK13" s="173"/>
      <c r="ML13" s="173"/>
      <c r="MM13" s="173"/>
      <c r="MN13" s="173"/>
      <c r="MO13" s="173"/>
      <c r="MP13" s="173"/>
      <c r="MQ13" s="173"/>
      <c r="MR13" s="173"/>
      <c r="MS13" s="173"/>
      <c r="MT13" s="173"/>
      <c r="MU13" s="173"/>
      <c r="MV13" s="173"/>
      <c r="MW13" s="173"/>
      <c r="MX13" s="173"/>
      <c r="MY13" s="173"/>
      <c r="MZ13" s="173"/>
      <c r="NA13" s="174"/>
      <c r="NB13" s="172" t="s">
        <v>79</v>
      </c>
      <c r="NC13" s="173"/>
      <c r="ND13" s="173"/>
      <c r="NE13" s="173"/>
      <c r="NF13" s="173"/>
      <c r="NG13" s="173"/>
      <c r="NH13" s="173"/>
      <c r="NI13" s="173"/>
      <c r="NJ13" s="173"/>
      <c r="NK13" s="173"/>
      <c r="NL13" s="173"/>
      <c r="NM13" s="173"/>
      <c r="NN13" s="173"/>
      <c r="NO13" s="173"/>
      <c r="NP13" s="173"/>
      <c r="NQ13" s="173"/>
      <c r="NR13" s="173"/>
      <c r="NS13" s="173"/>
      <c r="NT13" s="173"/>
      <c r="NU13" s="173"/>
      <c r="NV13" s="173"/>
      <c r="NW13" s="173"/>
      <c r="NX13" s="173"/>
      <c r="NY13" s="173"/>
      <c r="NZ13" s="173"/>
      <c r="OA13" s="173"/>
      <c r="OB13" s="173"/>
      <c r="OC13" s="173"/>
      <c r="OD13" s="173"/>
      <c r="OE13" s="173"/>
      <c r="OF13" s="173"/>
      <c r="OG13" s="173"/>
      <c r="OH13" s="173"/>
      <c r="OI13" s="173"/>
      <c r="OJ13" s="173"/>
      <c r="OK13" s="173"/>
      <c r="OL13" s="173"/>
      <c r="OM13" s="173"/>
      <c r="ON13" s="173"/>
      <c r="OO13" s="173"/>
      <c r="OP13" s="173"/>
      <c r="OQ13" s="173"/>
      <c r="OR13" s="173"/>
      <c r="OS13" s="173"/>
      <c r="OT13" s="173"/>
      <c r="OU13" s="173"/>
      <c r="OV13" s="173"/>
      <c r="OW13" s="173"/>
      <c r="OX13" s="173"/>
      <c r="OY13" s="173"/>
      <c r="OZ13" s="173"/>
      <c r="PA13" s="173"/>
      <c r="PB13" s="173"/>
      <c r="PC13" s="173"/>
      <c r="PD13" s="173"/>
      <c r="PE13" s="173"/>
      <c r="PF13" s="173"/>
      <c r="PG13" s="173"/>
      <c r="PH13" s="173"/>
      <c r="PI13" s="174"/>
      <c r="PJ13" s="172" t="s">
        <v>77</v>
      </c>
      <c r="PK13" s="173"/>
      <c r="PL13" s="173"/>
      <c r="PM13" s="173"/>
      <c r="PN13" s="173"/>
      <c r="PO13" s="173"/>
      <c r="PP13" s="173"/>
      <c r="PQ13" s="173"/>
      <c r="PR13" s="173"/>
      <c r="PS13" s="173"/>
      <c r="PT13" s="173"/>
      <c r="PU13" s="173"/>
      <c r="PV13" s="173"/>
      <c r="PW13" s="173"/>
      <c r="PX13" s="173"/>
      <c r="PY13" s="173"/>
      <c r="PZ13" s="173"/>
      <c r="QA13" s="173"/>
      <c r="QB13" s="173"/>
      <c r="QC13" s="173"/>
      <c r="QD13" s="173"/>
      <c r="QE13" s="173"/>
      <c r="QF13" s="173"/>
      <c r="QG13" s="173"/>
      <c r="QH13" s="173"/>
      <c r="QI13" s="173"/>
      <c r="QJ13" s="173"/>
      <c r="QK13" s="173"/>
      <c r="QL13" s="173"/>
      <c r="QM13" s="173"/>
      <c r="QN13" s="173"/>
      <c r="QO13" s="173"/>
      <c r="QP13" s="173"/>
      <c r="QQ13" s="173"/>
      <c r="QR13" s="173"/>
      <c r="QS13" s="173"/>
      <c r="QT13" s="173"/>
      <c r="QU13" s="173"/>
      <c r="QV13" s="173"/>
      <c r="QW13" s="173"/>
      <c r="QX13" s="173"/>
      <c r="QY13" s="173"/>
      <c r="QZ13" s="173"/>
      <c r="RA13" s="173"/>
      <c r="RB13" s="173"/>
      <c r="RC13" s="173"/>
      <c r="RD13" s="173"/>
      <c r="RE13" s="173"/>
      <c r="RF13" s="173"/>
      <c r="RG13" s="173"/>
      <c r="RH13" s="173"/>
      <c r="RI13" s="173"/>
      <c r="RJ13" s="173"/>
      <c r="RK13" s="173"/>
      <c r="RL13" s="173"/>
      <c r="RM13" s="173"/>
      <c r="RN13" s="173"/>
      <c r="RO13" s="173"/>
      <c r="RP13" s="173"/>
      <c r="RQ13" s="174"/>
      <c r="RR13" s="172" t="s">
        <v>76</v>
      </c>
      <c r="RS13" s="173"/>
      <c r="RT13" s="173"/>
      <c r="RU13" s="173"/>
      <c r="RV13" s="173"/>
      <c r="RW13" s="173"/>
      <c r="RX13" s="173"/>
      <c r="RY13" s="173"/>
      <c r="RZ13" s="173"/>
      <c r="SA13" s="173"/>
      <c r="SB13" s="173"/>
      <c r="SC13" s="173"/>
      <c r="SD13" s="173"/>
      <c r="SE13" s="173"/>
      <c r="SF13" s="173"/>
      <c r="SG13" s="173"/>
      <c r="SH13" s="173"/>
      <c r="SI13" s="173"/>
      <c r="SJ13" s="173"/>
      <c r="SK13" s="173"/>
      <c r="SL13" s="173"/>
      <c r="SM13" s="173"/>
      <c r="SN13" s="173"/>
      <c r="SO13" s="173"/>
      <c r="SP13" s="173"/>
      <c r="SQ13" s="173"/>
      <c r="SR13" s="173"/>
      <c r="SS13" s="173"/>
      <c r="ST13" s="173"/>
      <c r="SU13" s="173"/>
      <c r="SV13" s="173"/>
      <c r="SW13" s="173"/>
      <c r="SX13" s="173"/>
      <c r="SY13" s="173"/>
      <c r="SZ13" s="173"/>
      <c r="TA13" s="173"/>
      <c r="TB13" s="173"/>
      <c r="TC13" s="173"/>
      <c r="TD13" s="173"/>
      <c r="TE13" s="173"/>
      <c r="TF13" s="173"/>
      <c r="TG13" s="173"/>
      <c r="TH13" s="173"/>
      <c r="TI13" s="173"/>
      <c r="TJ13" s="173"/>
      <c r="TK13" s="173"/>
      <c r="TL13" s="173"/>
      <c r="TM13" s="173"/>
      <c r="TN13" s="173"/>
      <c r="TO13" s="173"/>
      <c r="TP13" s="173"/>
      <c r="TQ13" s="173"/>
      <c r="TR13" s="173"/>
      <c r="TS13" s="173"/>
      <c r="TT13" s="173"/>
      <c r="TU13" s="173"/>
      <c r="TV13" s="173"/>
      <c r="TW13" s="173"/>
      <c r="TX13" s="173"/>
      <c r="TY13" s="174"/>
      <c r="TZ13" s="172" t="s">
        <v>74</v>
      </c>
      <c r="UA13" s="173"/>
      <c r="UB13" s="173"/>
      <c r="UC13" s="173"/>
      <c r="UD13" s="173"/>
      <c r="UE13" s="173"/>
      <c r="UF13" s="173"/>
      <c r="UG13" s="173"/>
      <c r="UH13" s="173"/>
      <c r="UI13" s="173"/>
      <c r="UJ13" s="173"/>
      <c r="UK13" s="173"/>
      <c r="UL13" s="173"/>
      <c r="UM13" s="173"/>
      <c r="UN13" s="173"/>
      <c r="UO13" s="173"/>
      <c r="UP13" s="173"/>
      <c r="UQ13" s="173"/>
      <c r="UR13" s="173"/>
      <c r="US13" s="173"/>
      <c r="UT13" s="173"/>
      <c r="UU13" s="173"/>
      <c r="UV13" s="173"/>
      <c r="UW13" s="173"/>
      <c r="UX13" s="173"/>
      <c r="UY13" s="173"/>
      <c r="UZ13" s="173"/>
      <c r="VA13" s="173"/>
      <c r="VB13" s="173"/>
      <c r="VC13" s="173"/>
      <c r="VD13" s="173"/>
      <c r="VE13" s="173"/>
      <c r="VF13" s="173"/>
      <c r="VG13" s="173"/>
      <c r="VH13" s="173"/>
      <c r="VI13" s="173"/>
      <c r="VJ13" s="173"/>
      <c r="VK13" s="173"/>
      <c r="VL13" s="173"/>
      <c r="VM13" s="173"/>
      <c r="VN13" s="173"/>
      <c r="VO13" s="173"/>
      <c r="VP13" s="173"/>
      <c r="VQ13" s="173"/>
      <c r="VR13" s="173"/>
      <c r="VS13" s="173"/>
      <c r="VT13" s="173"/>
      <c r="VU13" s="173"/>
      <c r="VV13" s="173"/>
      <c r="VW13" s="173"/>
      <c r="VX13" s="173"/>
      <c r="VY13" s="173"/>
      <c r="VZ13" s="173"/>
      <c r="WA13" s="173"/>
      <c r="WB13" s="173"/>
      <c r="WC13" s="173"/>
      <c r="WD13" s="173"/>
      <c r="WE13" s="173"/>
      <c r="WF13" s="173"/>
      <c r="WG13" s="174"/>
      <c r="WH13" s="172" t="s">
        <v>73</v>
      </c>
      <c r="WI13" s="173"/>
      <c r="WJ13" s="173"/>
      <c r="WK13" s="173"/>
      <c r="WL13" s="173"/>
      <c r="WM13" s="173"/>
      <c r="WN13" s="173"/>
      <c r="WO13" s="173"/>
      <c r="WP13" s="173"/>
      <c r="WQ13" s="173"/>
      <c r="WR13" s="173"/>
      <c r="WS13" s="173"/>
      <c r="WT13" s="173"/>
      <c r="WU13" s="173"/>
      <c r="WV13" s="173"/>
      <c r="WW13" s="173"/>
      <c r="WX13" s="173"/>
      <c r="WY13" s="173"/>
      <c r="WZ13" s="173"/>
      <c r="XA13" s="173"/>
      <c r="XB13" s="173"/>
      <c r="XC13" s="173"/>
      <c r="XD13" s="173"/>
      <c r="XE13" s="173"/>
      <c r="XF13" s="173"/>
      <c r="XG13" s="173"/>
      <c r="XH13" s="173"/>
      <c r="XI13" s="173"/>
      <c r="XJ13" s="173"/>
      <c r="XK13" s="173"/>
      <c r="XL13" s="173"/>
      <c r="XM13" s="173"/>
      <c r="XN13" s="173"/>
      <c r="XO13" s="173"/>
      <c r="XP13" s="173"/>
      <c r="XQ13" s="173"/>
      <c r="XR13" s="173"/>
      <c r="XS13" s="173"/>
      <c r="XT13" s="173"/>
      <c r="XU13" s="173"/>
      <c r="XV13" s="173"/>
      <c r="XW13" s="173"/>
      <c r="XX13" s="173"/>
      <c r="XY13" s="173"/>
      <c r="XZ13" s="173"/>
      <c r="YA13" s="173"/>
      <c r="YB13" s="173"/>
      <c r="YC13" s="173"/>
      <c r="YD13" s="173"/>
      <c r="YE13" s="173"/>
      <c r="YF13" s="173"/>
      <c r="YG13" s="173"/>
      <c r="YH13" s="173"/>
      <c r="YI13" s="173"/>
      <c r="YJ13" s="173"/>
      <c r="YK13" s="173"/>
      <c r="YL13" s="173"/>
      <c r="YM13" s="173"/>
      <c r="YN13" s="173"/>
      <c r="YO13" s="174"/>
      <c r="YP13" s="172" t="s">
        <v>71</v>
      </c>
      <c r="YQ13" s="173"/>
      <c r="YR13" s="173"/>
      <c r="YS13" s="173"/>
      <c r="YT13" s="173"/>
      <c r="YU13" s="173"/>
      <c r="YV13" s="173"/>
      <c r="YW13" s="173"/>
      <c r="YX13" s="173"/>
      <c r="YY13" s="173"/>
      <c r="YZ13" s="173"/>
      <c r="ZA13" s="173"/>
      <c r="ZB13" s="173"/>
      <c r="ZC13" s="173"/>
      <c r="ZD13" s="173"/>
      <c r="ZE13" s="173"/>
      <c r="ZF13" s="173"/>
      <c r="ZG13" s="173"/>
      <c r="ZH13" s="173"/>
      <c r="ZI13" s="173"/>
      <c r="ZJ13" s="173"/>
      <c r="ZK13" s="173"/>
      <c r="ZL13" s="173"/>
      <c r="ZM13" s="173"/>
      <c r="ZN13" s="173"/>
      <c r="ZO13" s="173"/>
      <c r="ZP13" s="173"/>
      <c r="ZQ13" s="173"/>
      <c r="ZR13" s="173"/>
      <c r="ZS13" s="173"/>
      <c r="ZT13" s="173"/>
      <c r="ZU13" s="173"/>
      <c r="ZV13" s="173"/>
      <c r="ZW13" s="173"/>
      <c r="ZX13" s="173"/>
      <c r="ZY13" s="173"/>
      <c r="ZZ13" s="173"/>
      <c r="AAA13" s="173"/>
      <c r="AAB13" s="173"/>
      <c r="AAC13" s="173"/>
      <c r="AAD13" s="173"/>
      <c r="AAE13" s="173"/>
      <c r="AAF13" s="173"/>
      <c r="AAG13" s="173"/>
      <c r="AAH13" s="173"/>
      <c r="AAI13" s="173"/>
      <c r="AAJ13" s="173"/>
      <c r="AAK13" s="173"/>
      <c r="AAL13" s="173"/>
      <c r="AAM13" s="173"/>
      <c r="AAN13" s="173"/>
      <c r="AAO13" s="173"/>
      <c r="AAP13" s="173"/>
      <c r="AAQ13" s="173"/>
      <c r="AAR13" s="173"/>
      <c r="AAS13" s="173"/>
      <c r="AAT13" s="173"/>
      <c r="AAU13" s="173"/>
      <c r="AAV13" s="173"/>
      <c r="AAW13" s="174"/>
      <c r="AAX13" s="172" t="s">
        <v>69</v>
      </c>
      <c r="AAY13" s="173"/>
      <c r="AAZ13" s="173"/>
      <c r="ABA13" s="173"/>
      <c r="ABB13" s="173"/>
      <c r="ABC13" s="173"/>
      <c r="ABD13" s="173"/>
      <c r="ABE13" s="173"/>
      <c r="ABF13" s="173"/>
      <c r="ABG13" s="173"/>
      <c r="ABH13" s="173"/>
      <c r="ABI13" s="173"/>
      <c r="ABJ13" s="173"/>
      <c r="ABK13" s="173"/>
      <c r="ABL13" s="173"/>
      <c r="ABM13" s="173"/>
      <c r="ABN13" s="173"/>
      <c r="ABO13" s="173"/>
      <c r="ABP13" s="173"/>
      <c r="ABQ13" s="173"/>
      <c r="ABR13" s="173"/>
      <c r="ABS13" s="173"/>
      <c r="ABT13" s="173"/>
      <c r="ABU13" s="173"/>
      <c r="ABV13" s="173"/>
      <c r="ABW13" s="173"/>
      <c r="ABX13" s="173"/>
      <c r="ABY13" s="173"/>
      <c r="ABZ13" s="173"/>
      <c r="ACA13" s="173"/>
      <c r="ACB13" s="173"/>
      <c r="ACC13" s="173"/>
      <c r="ACD13" s="173"/>
      <c r="ACE13" s="173"/>
      <c r="ACF13" s="173"/>
      <c r="ACG13" s="173"/>
      <c r="ACH13" s="173"/>
      <c r="ACI13" s="173"/>
      <c r="ACJ13" s="173"/>
      <c r="ACK13" s="173"/>
      <c r="ACL13" s="173"/>
      <c r="ACM13" s="173"/>
      <c r="ACN13" s="173"/>
      <c r="ACO13" s="173"/>
      <c r="ACP13" s="173"/>
      <c r="ACQ13" s="173"/>
      <c r="ACR13" s="173"/>
      <c r="ACS13" s="173"/>
      <c r="ACT13" s="173"/>
      <c r="ACU13" s="173"/>
      <c r="ACV13" s="173"/>
      <c r="ACW13" s="173"/>
      <c r="ACX13" s="173"/>
      <c r="ACY13" s="173"/>
      <c r="ACZ13" s="173"/>
      <c r="ADA13" s="173"/>
      <c r="ADB13" s="173"/>
      <c r="ADC13" s="173"/>
      <c r="ADD13" s="173"/>
      <c r="ADE13" s="174"/>
      <c r="ADF13" s="172" t="s">
        <v>68</v>
      </c>
      <c r="ADG13" s="173"/>
      <c r="ADH13" s="173"/>
      <c r="ADI13" s="173"/>
      <c r="ADJ13" s="173"/>
      <c r="ADK13" s="173"/>
      <c r="ADL13" s="173"/>
      <c r="ADM13" s="173"/>
      <c r="ADN13" s="173"/>
      <c r="ADO13" s="173"/>
      <c r="ADP13" s="173"/>
      <c r="ADQ13" s="173"/>
      <c r="ADR13" s="173"/>
      <c r="ADS13" s="173"/>
      <c r="ADT13" s="173"/>
      <c r="ADU13" s="173"/>
      <c r="ADV13" s="173"/>
      <c r="ADW13" s="173"/>
      <c r="ADX13" s="173"/>
      <c r="ADY13" s="173"/>
      <c r="ADZ13" s="173"/>
      <c r="AEA13" s="173"/>
      <c r="AEB13" s="173"/>
      <c r="AEC13" s="173"/>
      <c r="AED13" s="173"/>
      <c r="AEE13" s="173"/>
      <c r="AEF13" s="173"/>
      <c r="AEG13" s="173"/>
      <c r="AEH13" s="173"/>
      <c r="AEI13" s="173"/>
      <c r="AEJ13" s="173"/>
      <c r="AEK13" s="173"/>
      <c r="AEL13" s="173"/>
      <c r="AEM13" s="173"/>
      <c r="AEN13" s="173"/>
      <c r="AEO13" s="173"/>
      <c r="AEP13" s="173"/>
      <c r="AEQ13" s="173"/>
      <c r="AER13" s="173"/>
      <c r="AES13" s="173"/>
      <c r="AET13" s="173"/>
      <c r="AEU13" s="173"/>
      <c r="AEV13" s="173"/>
      <c r="AEW13" s="173"/>
      <c r="AEX13" s="173"/>
      <c r="AEY13" s="173"/>
      <c r="AEZ13" s="173"/>
      <c r="AFA13" s="173"/>
      <c r="AFB13" s="173"/>
      <c r="AFC13" s="173"/>
      <c r="AFD13" s="173"/>
      <c r="AFE13" s="173"/>
      <c r="AFF13" s="173"/>
      <c r="AFG13" s="173"/>
      <c r="AFH13" s="173"/>
      <c r="AFI13" s="173"/>
      <c r="AFJ13" s="173"/>
      <c r="AFK13" s="173"/>
      <c r="AFL13" s="173"/>
      <c r="AFM13" s="174"/>
      <c r="AFN13" s="172" t="s">
        <v>66</v>
      </c>
      <c r="AFO13" s="173"/>
      <c r="AFP13" s="173"/>
      <c r="AFQ13" s="173"/>
      <c r="AFR13" s="173"/>
      <c r="AFS13" s="173"/>
      <c r="AFT13" s="173"/>
      <c r="AFU13" s="173"/>
      <c r="AFV13" s="173"/>
      <c r="AFW13" s="173"/>
      <c r="AFX13" s="173"/>
      <c r="AFY13" s="173"/>
      <c r="AFZ13" s="173"/>
      <c r="AGA13" s="173"/>
      <c r="AGB13" s="173"/>
      <c r="AGC13" s="173"/>
      <c r="AGD13" s="173"/>
      <c r="AGE13" s="173"/>
      <c r="AGF13" s="173"/>
      <c r="AGG13" s="173"/>
      <c r="AGH13" s="173"/>
      <c r="AGI13" s="173"/>
      <c r="AGJ13" s="173"/>
      <c r="AGK13" s="173"/>
      <c r="AGL13" s="173"/>
      <c r="AGM13" s="173"/>
      <c r="AGN13" s="173"/>
      <c r="AGO13" s="173"/>
      <c r="AGP13" s="173"/>
      <c r="AGQ13" s="173"/>
      <c r="AGR13" s="173"/>
      <c r="AGS13" s="173"/>
      <c r="AGT13" s="173"/>
      <c r="AGU13" s="173"/>
      <c r="AGV13" s="173"/>
      <c r="AGW13" s="173"/>
      <c r="AGX13" s="173"/>
      <c r="AGY13" s="173"/>
      <c r="AGZ13" s="173"/>
      <c r="AHA13" s="173"/>
      <c r="AHB13" s="173"/>
      <c r="AHC13" s="173"/>
      <c r="AHD13" s="173"/>
      <c r="AHE13" s="173"/>
      <c r="AHF13" s="173"/>
      <c r="AHG13" s="173"/>
      <c r="AHH13" s="173"/>
      <c r="AHI13" s="173"/>
      <c r="AHJ13" s="173"/>
      <c r="AHK13" s="173"/>
      <c r="AHL13" s="173"/>
      <c r="AHM13" s="173"/>
      <c r="AHN13" s="173"/>
      <c r="AHO13" s="173"/>
      <c r="AHP13" s="173"/>
      <c r="AHQ13" s="173"/>
      <c r="AHR13" s="173"/>
      <c r="AHS13" s="173"/>
      <c r="AHT13" s="173"/>
      <c r="AHU13" s="174"/>
      <c r="AHV13" s="172" t="s">
        <v>65</v>
      </c>
      <c r="AHW13" s="173"/>
      <c r="AHX13" s="173"/>
      <c r="AHY13" s="173"/>
      <c r="AHZ13" s="173"/>
      <c r="AIA13" s="173"/>
      <c r="AIB13" s="173"/>
      <c r="AIC13" s="173"/>
      <c r="AID13" s="173"/>
      <c r="AIE13" s="173"/>
      <c r="AIF13" s="173"/>
      <c r="AIG13" s="173"/>
      <c r="AIH13" s="173"/>
      <c r="AII13" s="173"/>
      <c r="AIJ13" s="173"/>
      <c r="AIK13" s="173"/>
      <c r="AIL13" s="173"/>
      <c r="AIM13" s="173"/>
      <c r="AIN13" s="173"/>
      <c r="AIO13" s="173"/>
      <c r="AIP13" s="173"/>
      <c r="AIQ13" s="173"/>
      <c r="AIR13" s="173"/>
      <c r="AIS13" s="173"/>
      <c r="AIT13" s="173"/>
      <c r="AIU13" s="173"/>
      <c r="AIV13" s="173"/>
      <c r="AIW13" s="173"/>
      <c r="AIX13" s="173"/>
      <c r="AIY13" s="173"/>
      <c r="AIZ13" s="173"/>
      <c r="AJA13" s="173"/>
      <c r="AJB13" s="173"/>
      <c r="AJC13" s="173"/>
      <c r="AJD13" s="173"/>
      <c r="AJE13" s="173"/>
      <c r="AJF13" s="173"/>
      <c r="AJG13" s="173"/>
      <c r="AJH13" s="173"/>
      <c r="AJI13" s="173"/>
      <c r="AJJ13" s="173"/>
      <c r="AJK13" s="173"/>
      <c r="AJL13" s="173"/>
      <c r="AJM13" s="173"/>
      <c r="AJN13" s="173"/>
      <c r="AJO13" s="173"/>
      <c r="AJP13" s="173"/>
      <c r="AJQ13" s="173"/>
      <c r="AJR13" s="173"/>
      <c r="AJS13" s="173"/>
      <c r="AJT13" s="173"/>
      <c r="AJU13" s="173"/>
      <c r="AJV13" s="173"/>
      <c r="AJW13" s="173"/>
      <c r="AJX13" s="173"/>
      <c r="AJY13" s="173"/>
      <c r="AJZ13" s="173"/>
      <c r="AKA13" s="173"/>
      <c r="AKB13" s="173"/>
      <c r="AKC13" s="174"/>
      <c r="AKD13" s="172" t="s">
        <v>64</v>
      </c>
      <c r="AKE13" s="173"/>
      <c r="AKF13" s="173"/>
      <c r="AKG13" s="173"/>
      <c r="AKH13" s="173"/>
      <c r="AKI13" s="173"/>
      <c r="AKJ13" s="173"/>
      <c r="AKK13" s="173"/>
      <c r="AKL13" s="173"/>
      <c r="AKM13" s="173"/>
      <c r="AKN13" s="173"/>
      <c r="AKO13" s="173"/>
      <c r="AKP13" s="173"/>
      <c r="AKQ13" s="173"/>
      <c r="AKR13" s="173"/>
      <c r="AKS13" s="173"/>
      <c r="AKT13" s="173"/>
      <c r="AKU13" s="173"/>
      <c r="AKV13" s="173"/>
      <c r="AKW13" s="173"/>
      <c r="AKX13" s="173"/>
      <c r="AKY13" s="173"/>
      <c r="AKZ13" s="173"/>
      <c r="ALA13" s="173"/>
      <c r="ALB13" s="173"/>
      <c r="ALC13" s="173"/>
      <c r="ALD13" s="173"/>
      <c r="ALE13" s="173"/>
      <c r="ALF13" s="173"/>
      <c r="ALG13" s="173"/>
      <c r="ALH13" s="173"/>
      <c r="ALI13" s="173"/>
      <c r="ALJ13" s="173"/>
      <c r="ALK13" s="173"/>
      <c r="ALL13" s="173"/>
      <c r="ALM13" s="173"/>
      <c r="ALN13" s="173"/>
      <c r="ALO13" s="173"/>
      <c r="ALP13" s="173"/>
      <c r="ALQ13" s="173"/>
      <c r="ALR13" s="173"/>
      <c r="ALS13" s="173"/>
      <c r="ALT13" s="173"/>
      <c r="ALU13" s="173"/>
      <c r="ALV13" s="173"/>
      <c r="ALW13" s="173"/>
      <c r="ALX13" s="173"/>
      <c r="ALY13" s="173"/>
      <c r="ALZ13" s="173"/>
      <c r="AMA13" s="173"/>
      <c r="AMB13" s="173"/>
      <c r="AMC13" s="173"/>
      <c r="AMD13" s="173"/>
      <c r="AME13" s="173"/>
      <c r="AMF13" s="173"/>
      <c r="AMG13" s="173"/>
      <c r="AMH13" s="173"/>
      <c r="AMI13" s="173"/>
      <c r="AMJ13" s="173"/>
      <c r="AMK13" s="174"/>
      <c r="AML13" s="172" t="s">
        <v>63</v>
      </c>
      <c r="AMM13" s="173"/>
      <c r="AMN13" s="173"/>
      <c r="AMO13" s="173"/>
      <c r="AMP13" s="173"/>
      <c r="AMQ13" s="173"/>
      <c r="AMR13" s="173"/>
      <c r="AMS13" s="173"/>
      <c r="AMT13" s="173"/>
      <c r="AMU13" s="173"/>
      <c r="AMV13" s="173"/>
      <c r="AMW13" s="173"/>
      <c r="AMX13" s="173"/>
      <c r="AMY13" s="173"/>
      <c r="AMZ13" s="173"/>
      <c r="ANA13" s="173"/>
      <c r="ANB13" s="173"/>
      <c r="ANC13" s="173"/>
      <c r="AND13" s="173"/>
      <c r="ANE13" s="173"/>
      <c r="ANF13" s="173"/>
      <c r="ANG13" s="173"/>
      <c r="ANH13" s="173"/>
      <c r="ANI13" s="173"/>
      <c r="ANJ13" s="173"/>
      <c r="ANK13" s="173"/>
      <c r="ANL13" s="173"/>
      <c r="ANM13" s="173"/>
      <c r="ANN13" s="173"/>
      <c r="ANO13" s="173"/>
      <c r="ANP13" s="173"/>
      <c r="ANQ13" s="173"/>
      <c r="ANR13" s="173"/>
      <c r="ANS13" s="173"/>
      <c r="ANT13" s="173"/>
      <c r="ANU13" s="173"/>
      <c r="ANV13" s="173"/>
      <c r="ANW13" s="173"/>
      <c r="ANX13" s="173"/>
      <c r="ANY13" s="173"/>
      <c r="ANZ13" s="173"/>
      <c r="AOA13" s="173"/>
      <c r="AOB13" s="173"/>
      <c r="AOC13" s="173"/>
      <c r="AOD13" s="173"/>
      <c r="AOE13" s="173"/>
      <c r="AOF13" s="173"/>
      <c r="AOG13" s="173"/>
      <c r="AOH13" s="173"/>
      <c r="AOI13" s="173"/>
      <c r="AOJ13" s="173"/>
      <c r="AOK13" s="173"/>
      <c r="AOL13" s="173"/>
      <c r="AOM13" s="173"/>
      <c r="AON13" s="173"/>
      <c r="AOO13" s="173"/>
      <c r="AOP13" s="173"/>
      <c r="AOQ13" s="173"/>
      <c r="AOR13" s="173"/>
      <c r="AOS13" s="174"/>
      <c r="AOT13" s="172" t="s">
        <v>62</v>
      </c>
      <c r="AOU13" s="173"/>
      <c r="AOV13" s="173"/>
      <c r="AOW13" s="173"/>
      <c r="AOX13" s="173"/>
      <c r="AOY13" s="173"/>
      <c r="AOZ13" s="173"/>
      <c r="APA13" s="173"/>
      <c r="APB13" s="173"/>
      <c r="APC13" s="173"/>
      <c r="APD13" s="173"/>
      <c r="APE13" s="173"/>
      <c r="APF13" s="173"/>
      <c r="APG13" s="173"/>
      <c r="APH13" s="173"/>
      <c r="API13" s="173"/>
      <c r="APJ13" s="173"/>
      <c r="APK13" s="173"/>
      <c r="APL13" s="173"/>
      <c r="APM13" s="173"/>
      <c r="APN13" s="173"/>
      <c r="APO13" s="173"/>
      <c r="APP13" s="173"/>
      <c r="APQ13" s="173"/>
      <c r="APR13" s="173"/>
      <c r="APS13" s="173"/>
      <c r="APT13" s="173"/>
      <c r="APU13" s="173"/>
      <c r="APV13" s="173"/>
      <c r="APW13" s="173"/>
      <c r="APX13" s="173"/>
      <c r="APY13" s="173"/>
      <c r="APZ13" s="173"/>
      <c r="AQA13" s="173"/>
      <c r="AQB13" s="173"/>
      <c r="AQC13" s="173"/>
      <c r="AQD13" s="173"/>
      <c r="AQE13" s="173"/>
      <c r="AQF13" s="173"/>
      <c r="AQG13" s="173"/>
      <c r="AQH13" s="173"/>
      <c r="AQI13" s="173"/>
      <c r="AQJ13" s="173"/>
      <c r="AQK13" s="173"/>
      <c r="AQL13" s="173"/>
      <c r="AQM13" s="173"/>
      <c r="AQN13" s="173"/>
      <c r="AQO13" s="173"/>
      <c r="AQP13" s="173"/>
      <c r="AQQ13" s="173"/>
      <c r="AQR13" s="173"/>
      <c r="AQS13" s="173"/>
      <c r="AQT13" s="173"/>
      <c r="AQU13" s="173"/>
      <c r="AQV13" s="173"/>
      <c r="AQW13" s="173"/>
      <c r="AQX13" s="173"/>
      <c r="AQY13" s="173"/>
      <c r="AQZ13" s="173"/>
      <c r="ARA13" s="174"/>
      <c r="ARB13" s="172" t="s">
        <v>60</v>
      </c>
      <c r="ARC13" s="173"/>
      <c r="ARD13" s="173"/>
      <c r="ARE13" s="173"/>
      <c r="ARF13" s="173"/>
      <c r="ARG13" s="173"/>
      <c r="ARH13" s="173"/>
      <c r="ARI13" s="173"/>
      <c r="ARJ13" s="173"/>
      <c r="ARK13" s="173"/>
      <c r="ARL13" s="173"/>
      <c r="ARM13" s="173"/>
      <c r="ARN13" s="173"/>
      <c r="ARO13" s="173"/>
      <c r="ARP13" s="173"/>
      <c r="ARQ13" s="173"/>
      <c r="ARR13" s="173"/>
      <c r="ARS13" s="173"/>
      <c r="ART13" s="173"/>
      <c r="ARU13" s="173"/>
      <c r="ARV13" s="173"/>
      <c r="ARW13" s="173"/>
      <c r="ARX13" s="173"/>
      <c r="ARY13" s="173"/>
      <c r="ARZ13" s="173"/>
      <c r="ASA13" s="173"/>
      <c r="ASB13" s="173"/>
      <c r="ASC13" s="173"/>
      <c r="ASD13" s="173"/>
      <c r="ASE13" s="173"/>
      <c r="ASF13" s="173"/>
      <c r="ASG13" s="173"/>
      <c r="ASH13" s="173"/>
      <c r="ASI13" s="173"/>
      <c r="ASJ13" s="173"/>
      <c r="ASK13" s="173"/>
      <c r="ASL13" s="173"/>
      <c r="ASM13" s="173"/>
      <c r="ASN13" s="173"/>
      <c r="ASO13" s="173"/>
      <c r="ASP13" s="173"/>
      <c r="ASQ13" s="173"/>
      <c r="ASR13" s="173"/>
      <c r="ASS13" s="173"/>
      <c r="AST13" s="173"/>
      <c r="ASU13" s="173"/>
      <c r="ASV13" s="173"/>
      <c r="ASW13" s="173"/>
      <c r="ASX13" s="173"/>
      <c r="ASY13" s="173"/>
      <c r="ASZ13" s="173"/>
      <c r="ATA13" s="173"/>
      <c r="ATB13" s="173"/>
      <c r="ATC13" s="173"/>
      <c r="ATD13" s="173"/>
      <c r="ATE13" s="173"/>
      <c r="ATF13" s="173"/>
      <c r="ATG13" s="173"/>
      <c r="ATH13" s="173"/>
      <c r="ATI13" s="174"/>
      <c r="ATJ13" s="172" t="s">
        <v>59</v>
      </c>
      <c r="ATK13" s="173"/>
      <c r="ATL13" s="173"/>
      <c r="ATM13" s="173"/>
      <c r="ATN13" s="173"/>
      <c r="ATO13" s="173"/>
      <c r="ATP13" s="173"/>
      <c r="ATQ13" s="173"/>
      <c r="ATR13" s="173"/>
      <c r="ATS13" s="173"/>
      <c r="ATT13" s="173"/>
      <c r="ATU13" s="173"/>
      <c r="ATV13" s="173"/>
      <c r="ATW13" s="173"/>
      <c r="ATX13" s="173"/>
      <c r="ATY13" s="173"/>
      <c r="ATZ13" s="173"/>
      <c r="AUA13" s="173"/>
      <c r="AUB13" s="173"/>
      <c r="AUC13" s="173"/>
      <c r="AUD13" s="173"/>
      <c r="AUE13" s="173"/>
      <c r="AUF13" s="173"/>
      <c r="AUG13" s="173"/>
      <c r="AUH13" s="173"/>
      <c r="AUI13" s="173"/>
      <c r="AUJ13" s="173"/>
      <c r="AUK13" s="173"/>
      <c r="AUL13" s="173"/>
      <c r="AUM13" s="173"/>
      <c r="AUN13" s="173"/>
      <c r="AUO13" s="173"/>
      <c r="AUP13" s="173"/>
      <c r="AUQ13" s="173"/>
      <c r="AUR13" s="173"/>
      <c r="AUS13" s="173"/>
      <c r="AUT13" s="173"/>
      <c r="AUU13" s="173"/>
      <c r="AUV13" s="173"/>
      <c r="AUW13" s="173"/>
      <c r="AUX13" s="173"/>
      <c r="AUY13" s="173"/>
      <c r="AUZ13" s="173"/>
      <c r="AVA13" s="173"/>
      <c r="AVB13" s="173"/>
      <c r="AVC13" s="173"/>
      <c r="AVD13" s="173"/>
      <c r="AVE13" s="173"/>
      <c r="AVF13" s="173"/>
      <c r="AVG13" s="173"/>
      <c r="AVH13" s="173"/>
      <c r="AVI13" s="173"/>
      <c r="AVJ13" s="173"/>
      <c r="AVK13" s="173"/>
      <c r="AVL13" s="173"/>
      <c r="AVM13" s="173"/>
      <c r="AVN13" s="173"/>
      <c r="AVO13" s="173"/>
      <c r="AVP13" s="173"/>
      <c r="AVQ13" s="174"/>
      <c r="AVR13" s="172" t="s">
        <v>57</v>
      </c>
      <c r="AVS13" s="173"/>
      <c r="AVT13" s="173"/>
      <c r="AVU13" s="173"/>
      <c r="AVV13" s="173"/>
      <c r="AVW13" s="173"/>
      <c r="AVX13" s="173"/>
      <c r="AVY13" s="173"/>
      <c r="AVZ13" s="173"/>
      <c r="AWA13" s="173"/>
      <c r="AWB13" s="173"/>
      <c r="AWC13" s="173"/>
      <c r="AWD13" s="173"/>
      <c r="AWE13" s="173"/>
      <c r="AWF13" s="173"/>
      <c r="AWG13" s="173"/>
      <c r="AWH13" s="173"/>
      <c r="AWI13" s="173"/>
      <c r="AWJ13" s="173"/>
      <c r="AWK13" s="173"/>
      <c r="AWL13" s="173"/>
      <c r="AWM13" s="173"/>
      <c r="AWN13" s="173"/>
      <c r="AWO13" s="173"/>
      <c r="AWP13" s="173"/>
      <c r="AWQ13" s="173"/>
      <c r="AWR13" s="173"/>
      <c r="AWS13" s="173"/>
      <c r="AWT13" s="173"/>
      <c r="AWU13" s="173"/>
      <c r="AWV13" s="173"/>
      <c r="AWW13" s="173"/>
      <c r="AWX13" s="173"/>
      <c r="AWY13" s="173"/>
      <c r="AWZ13" s="173"/>
      <c r="AXA13" s="173"/>
      <c r="AXB13" s="173"/>
      <c r="AXC13" s="173"/>
      <c r="AXD13" s="173"/>
      <c r="AXE13" s="173"/>
      <c r="AXF13" s="173"/>
      <c r="AXG13" s="173"/>
      <c r="AXH13" s="173"/>
      <c r="AXI13" s="173"/>
      <c r="AXJ13" s="173"/>
      <c r="AXK13" s="173"/>
      <c r="AXL13" s="173"/>
      <c r="AXM13" s="173"/>
      <c r="AXN13" s="173"/>
      <c r="AXO13" s="173"/>
      <c r="AXP13" s="173"/>
      <c r="AXQ13" s="173"/>
      <c r="AXR13" s="173"/>
      <c r="AXS13" s="173"/>
      <c r="AXT13" s="173"/>
      <c r="AXU13" s="173"/>
      <c r="AXV13" s="173"/>
      <c r="AXW13" s="173"/>
      <c r="AXX13" s="173"/>
      <c r="AXY13" s="174"/>
      <c r="AXZ13" s="172" t="s">
        <v>56</v>
      </c>
      <c r="AYA13" s="173"/>
      <c r="AYB13" s="173"/>
      <c r="AYC13" s="173"/>
      <c r="AYD13" s="173"/>
      <c r="AYE13" s="173"/>
      <c r="AYF13" s="173"/>
      <c r="AYG13" s="173"/>
      <c r="AYH13" s="173"/>
      <c r="AYI13" s="173"/>
      <c r="AYJ13" s="173"/>
      <c r="AYK13" s="173"/>
      <c r="AYL13" s="173"/>
      <c r="AYM13" s="173"/>
      <c r="AYN13" s="173"/>
      <c r="AYO13" s="173"/>
      <c r="AYP13" s="173"/>
      <c r="AYQ13" s="173"/>
      <c r="AYR13" s="173"/>
      <c r="AYS13" s="173"/>
      <c r="AYT13" s="173"/>
      <c r="AYU13" s="173"/>
      <c r="AYV13" s="173"/>
      <c r="AYW13" s="173"/>
      <c r="AYX13" s="173"/>
      <c r="AYY13" s="173"/>
      <c r="AYZ13" s="173"/>
      <c r="AZA13" s="173"/>
      <c r="AZB13" s="173"/>
      <c r="AZC13" s="173"/>
      <c r="AZD13" s="173"/>
      <c r="AZE13" s="173"/>
      <c r="AZF13" s="173"/>
      <c r="AZG13" s="173"/>
      <c r="AZH13" s="173"/>
      <c r="AZI13" s="173"/>
      <c r="AZJ13" s="173"/>
      <c r="AZK13" s="173"/>
      <c r="AZL13" s="173"/>
      <c r="AZM13" s="173"/>
      <c r="AZN13" s="173"/>
      <c r="AZO13" s="173"/>
      <c r="AZP13" s="173"/>
      <c r="AZQ13" s="173"/>
      <c r="AZR13" s="173"/>
      <c r="AZS13" s="173"/>
      <c r="AZT13" s="173"/>
      <c r="AZU13" s="173"/>
      <c r="AZV13" s="173"/>
      <c r="AZW13" s="173"/>
      <c r="AZX13" s="173"/>
      <c r="AZY13" s="173"/>
      <c r="AZZ13" s="173"/>
      <c r="BAA13" s="173"/>
      <c r="BAB13" s="173"/>
      <c r="BAC13" s="173"/>
      <c r="BAD13" s="173"/>
      <c r="BAE13" s="173"/>
      <c r="BAF13" s="173"/>
      <c r="BAG13" s="174"/>
      <c r="BAH13" s="172" t="s">
        <v>54</v>
      </c>
      <c r="BAI13" s="173"/>
      <c r="BAJ13" s="173"/>
      <c r="BAK13" s="173"/>
      <c r="BAL13" s="173"/>
      <c r="BAM13" s="173"/>
      <c r="BAN13" s="173"/>
      <c r="BAO13" s="173"/>
      <c r="BAP13" s="173"/>
      <c r="BAQ13" s="173"/>
      <c r="BAR13" s="173"/>
      <c r="BAS13" s="173"/>
      <c r="BAT13" s="173"/>
      <c r="BAU13" s="173"/>
      <c r="BAV13" s="173"/>
      <c r="BAW13" s="173"/>
      <c r="BAX13" s="173"/>
      <c r="BAY13" s="173"/>
      <c r="BAZ13" s="173"/>
      <c r="BBA13" s="173"/>
      <c r="BBB13" s="173"/>
      <c r="BBC13" s="173"/>
      <c r="BBD13" s="173"/>
      <c r="BBE13" s="173"/>
      <c r="BBF13" s="173"/>
      <c r="BBG13" s="173"/>
      <c r="BBH13" s="173"/>
      <c r="BBI13" s="173"/>
      <c r="BBJ13" s="173"/>
      <c r="BBK13" s="173"/>
      <c r="BBL13" s="173"/>
      <c r="BBM13" s="173"/>
      <c r="BBN13" s="173"/>
      <c r="BBO13" s="173"/>
      <c r="BBP13" s="173"/>
      <c r="BBQ13" s="173"/>
      <c r="BBR13" s="173"/>
      <c r="BBS13" s="173"/>
      <c r="BBT13" s="173"/>
      <c r="BBU13" s="173"/>
      <c r="BBV13" s="173"/>
      <c r="BBW13" s="173"/>
      <c r="BBX13" s="173"/>
      <c r="BBY13" s="173"/>
      <c r="BBZ13" s="173"/>
      <c r="BCA13" s="173"/>
      <c r="BCB13" s="173"/>
      <c r="BCC13" s="173"/>
      <c r="BCD13" s="173"/>
      <c r="BCE13" s="173"/>
      <c r="BCF13" s="173"/>
      <c r="BCG13" s="173"/>
      <c r="BCH13" s="173"/>
      <c r="BCI13" s="173"/>
      <c r="BCJ13" s="173"/>
      <c r="BCK13" s="173"/>
      <c r="BCL13" s="173"/>
      <c r="BCM13" s="173"/>
      <c r="BCN13" s="173"/>
      <c r="BCO13" s="174"/>
      <c r="BCP13" s="172" t="s">
        <v>53</v>
      </c>
      <c r="BCQ13" s="173"/>
      <c r="BCR13" s="173"/>
      <c r="BCS13" s="173"/>
      <c r="BCT13" s="173"/>
      <c r="BCU13" s="173"/>
      <c r="BCV13" s="173"/>
      <c r="BCW13" s="173"/>
      <c r="BCX13" s="173"/>
      <c r="BCY13" s="173"/>
      <c r="BCZ13" s="173"/>
      <c r="BDA13" s="173"/>
      <c r="BDB13" s="173"/>
      <c r="BDC13" s="173"/>
      <c r="BDD13" s="173"/>
      <c r="BDE13" s="173"/>
      <c r="BDF13" s="173"/>
      <c r="BDG13" s="173"/>
      <c r="BDH13" s="173"/>
      <c r="BDI13" s="173"/>
      <c r="BDJ13" s="173"/>
      <c r="BDK13" s="173"/>
      <c r="BDL13" s="173"/>
      <c r="BDM13" s="173"/>
      <c r="BDN13" s="173"/>
      <c r="BDO13" s="173"/>
      <c r="BDP13" s="173"/>
      <c r="BDQ13" s="173"/>
      <c r="BDR13" s="173"/>
      <c r="BDS13" s="173"/>
      <c r="BDT13" s="173"/>
      <c r="BDU13" s="173"/>
      <c r="BDV13" s="173"/>
      <c r="BDW13" s="173"/>
      <c r="BDX13" s="173"/>
      <c r="BDY13" s="173"/>
      <c r="BDZ13" s="173"/>
      <c r="BEA13" s="173"/>
      <c r="BEB13" s="173"/>
      <c r="BEC13" s="173"/>
      <c r="BED13" s="173"/>
      <c r="BEE13" s="173"/>
      <c r="BEF13" s="173"/>
      <c r="BEG13" s="173"/>
      <c r="BEH13" s="173"/>
      <c r="BEI13" s="173"/>
      <c r="BEJ13" s="173"/>
      <c r="BEK13" s="173"/>
      <c r="BEL13" s="173"/>
      <c r="BEM13" s="173"/>
      <c r="BEN13" s="173"/>
      <c r="BEO13" s="173"/>
      <c r="BEP13" s="173"/>
      <c r="BEQ13" s="173"/>
      <c r="BER13" s="173"/>
      <c r="BES13" s="173"/>
      <c r="BET13" s="173"/>
      <c r="BEU13" s="173"/>
      <c r="BEV13" s="173"/>
      <c r="BEW13" s="174"/>
      <c r="BEX13" s="172" t="s">
        <v>51</v>
      </c>
      <c r="BEY13" s="173"/>
      <c r="BEZ13" s="173"/>
      <c r="BFA13" s="173"/>
      <c r="BFB13" s="173"/>
      <c r="BFC13" s="173"/>
      <c r="BFD13" s="173"/>
      <c r="BFE13" s="173"/>
      <c r="BFF13" s="173"/>
      <c r="BFG13" s="173"/>
      <c r="BFH13" s="173"/>
      <c r="BFI13" s="173"/>
      <c r="BFJ13" s="173"/>
      <c r="BFK13" s="173"/>
      <c r="BFL13" s="173"/>
      <c r="BFM13" s="173"/>
      <c r="BFN13" s="173"/>
      <c r="BFO13" s="173"/>
      <c r="BFP13" s="173"/>
      <c r="BFQ13" s="173"/>
      <c r="BFR13" s="173"/>
      <c r="BFS13" s="173"/>
      <c r="BFT13" s="173"/>
      <c r="BFU13" s="173"/>
      <c r="BFV13" s="173"/>
      <c r="BFW13" s="173"/>
      <c r="BFX13" s="173"/>
      <c r="BFY13" s="173"/>
      <c r="BFZ13" s="173"/>
      <c r="BGA13" s="173"/>
      <c r="BGB13" s="173"/>
      <c r="BGC13" s="173"/>
      <c r="BGD13" s="173"/>
      <c r="BGE13" s="173"/>
      <c r="BGF13" s="173"/>
      <c r="BGG13" s="173"/>
      <c r="BGH13" s="173"/>
      <c r="BGI13" s="173"/>
      <c r="BGJ13" s="173"/>
      <c r="BGK13" s="173"/>
      <c r="BGL13" s="173"/>
      <c r="BGM13" s="173"/>
      <c r="BGN13" s="173"/>
      <c r="BGO13" s="173"/>
      <c r="BGP13" s="173"/>
      <c r="BGQ13" s="173"/>
      <c r="BGR13" s="173"/>
      <c r="BGS13" s="173"/>
      <c r="BGT13" s="173"/>
      <c r="BGU13" s="173"/>
      <c r="BGV13" s="173"/>
      <c r="BGW13" s="173"/>
      <c r="BGX13" s="173"/>
      <c r="BGY13" s="173"/>
      <c r="BGZ13" s="173"/>
      <c r="BHA13" s="173"/>
      <c r="BHB13" s="173"/>
      <c r="BHC13" s="173"/>
      <c r="BHD13" s="173"/>
      <c r="BHE13" s="174"/>
      <c r="BHF13" s="172" t="s">
        <v>50</v>
      </c>
      <c r="BHG13" s="173"/>
      <c r="BHH13" s="173"/>
      <c r="BHI13" s="173"/>
      <c r="BHJ13" s="173"/>
      <c r="BHK13" s="173"/>
      <c r="BHL13" s="173"/>
      <c r="BHM13" s="173"/>
      <c r="BHN13" s="173"/>
      <c r="BHO13" s="173"/>
      <c r="BHP13" s="173"/>
      <c r="BHQ13" s="173"/>
      <c r="BHR13" s="173"/>
      <c r="BHS13" s="173"/>
      <c r="BHT13" s="173"/>
      <c r="BHU13" s="173"/>
      <c r="BHV13" s="173"/>
      <c r="BHW13" s="173"/>
      <c r="BHX13" s="173"/>
      <c r="BHY13" s="173"/>
      <c r="BHZ13" s="173"/>
      <c r="BIA13" s="173"/>
      <c r="BIB13" s="173"/>
      <c r="BIC13" s="173"/>
      <c r="BID13" s="173"/>
      <c r="BIE13" s="173"/>
      <c r="BIF13" s="173"/>
      <c r="BIG13" s="173"/>
      <c r="BIH13" s="173"/>
      <c r="BII13" s="173"/>
      <c r="BIJ13" s="173"/>
      <c r="BIK13" s="173"/>
      <c r="BIL13" s="173"/>
      <c r="BIM13" s="173"/>
      <c r="BIN13" s="173"/>
      <c r="BIO13" s="173"/>
      <c r="BIP13" s="173"/>
      <c r="BIQ13" s="173"/>
      <c r="BIR13" s="173"/>
      <c r="BIS13" s="173"/>
      <c r="BIT13" s="173"/>
      <c r="BIU13" s="173"/>
      <c r="BIV13" s="173"/>
      <c r="BIW13" s="173"/>
      <c r="BIX13" s="173"/>
      <c r="BIY13" s="173"/>
      <c r="BIZ13" s="173"/>
      <c r="BJA13" s="173"/>
      <c r="BJB13" s="173"/>
      <c r="BJC13" s="173"/>
      <c r="BJD13" s="173"/>
      <c r="BJE13" s="173"/>
      <c r="BJF13" s="173"/>
      <c r="BJG13" s="173"/>
      <c r="BJH13" s="173"/>
      <c r="BJI13" s="173"/>
      <c r="BJJ13" s="173"/>
      <c r="BJK13" s="173"/>
      <c r="BJL13" s="173"/>
      <c r="BJM13" s="174"/>
      <c r="BJN13" s="172" t="s">
        <v>49</v>
      </c>
      <c r="BJO13" s="173"/>
      <c r="BJP13" s="173"/>
      <c r="BJQ13" s="173"/>
      <c r="BJR13" s="173"/>
      <c r="BJS13" s="173"/>
      <c r="BJT13" s="173"/>
      <c r="BJU13" s="173"/>
      <c r="BJV13" s="173"/>
      <c r="BJW13" s="173"/>
      <c r="BJX13" s="173"/>
      <c r="BJY13" s="173"/>
      <c r="BJZ13" s="173"/>
      <c r="BKA13" s="173"/>
      <c r="BKB13" s="173"/>
      <c r="BKC13" s="173"/>
      <c r="BKD13" s="173"/>
      <c r="BKE13" s="173"/>
      <c r="BKF13" s="173"/>
      <c r="BKG13" s="173"/>
      <c r="BKH13" s="173"/>
      <c r="BKI13" s="173"/>
      <c r="BKJ13" s="173"/>
      <c r="BKK13" s="173"/>
      <c r="BKL13" s="173"/>
      <c r="BKM13" s="173"/>
      <c r="BKN13" s="173"/>
      <c r="BKO13" s="173"/>
      <c r="BKP13" s="173"/>
      <c r="BKQ13" s="173"/>
      <c r="BKR13" s="173"/>
      <c r="BKS13" s="173"/>
      <c r="BKT13" s="173"/>
      <c r="BKU13" s="173"/>
      <c r="BKV13" s="173"/>
      <c r="BKW13" s="173"/>
      <c r="BKX13" s="173"/>
      <c r="BKY13" s="173"/>
      <c r="BKZ13" s="173"/>
      <c r="BLA13" s="173"/>
      <c r="BLB13" s="173"/>
      <c r="BLC13" s="173"/>
      <c r="BLD13" s="173"/>
      <c r="BLE13" s="173"/>
      <c r="BLF13" s="173"/>
      <c r="BLG13" s="173"/>
      <c r="BLH13" s="173"/>
      <c r="BLI13" s="173"/>
      <c r="BLJ13" s="173"/>
      <c r="BLK13" s="173"/>
      <c r="BLL13" s="173"/>
      <c r="BLM13" s="173"/>
      <c r="BLN13" s="173"/>
      <c r="BLO13" s="173"/>
      <c r="BLP13" s="173"/>
      <c r="BLQ13" s="173"/>
      <c r="BLR13" s="173"/>
      <c r="BLS13" s="173"/>
      <c r="BLT13" s="173"/>
      <c r="BLU13" s="174"/>
    </row>
    <row r="14" spans="1:1744" ht="12.75" customHeight="1" thickBot="1" x14ac:dyDescent="0.35">
      <c r="B14" s="96"/>
      <c r="C14" s="184"/>
      <c r="D14" s="145"/>
      <c r="E14" s="186"/>
      <c r="F14" s="103"/>
      <c r="G14" s="104"/>
      <c r="H14" s="104"/>
      <c r="I14" s="104"/>
      <c r="J14" s="175" t="s">
        <v>33</v>
      </c>
      <c r="K14" s="175"/>
      <c r="L14" s="175"/>
      <c r="M14" s="175"/>
      <c r="N14" s="104"/>
      <c r="O14" s="104"/>
      <c r="P14" s="176" t="s">
        <v>23</v>
      </c>
      <c r="Q14" s="176"/>
      <c r="R14" s="176"/>
      <c r="S14" s="176"/>
      <c r="T14" s="129"/>
      <c r="U14" s="129"/>
      <c r="V14" s="175" t="s">
        <v>34</v>
      </c>
      <c r="W14" s="175"/>
      <c r="X14" s="175"/>
      <c r="Y14" s="175"/>
      <c r="Z14" s="104"/>
      <c r="AA14" s="104"/>
      <c r="AB14" s="176" t="s">
        <v>24</v>
      </c>
      <c r="AC14" s="176"/>
      <c r="AD14" s="176"/>
      <c r="AE14" s="176"/>
      <c r="AF14" s="129"/>
      <c r="AG14" s="129"/>
      <c r="AH14" s="175" t="s">
        <v>35</v>
      </c>
      <c r="AI14" s="175"/>
      <c r="AJ14" s="175"/>
      <c r="AK14" s="175"/>
      <c r="AL14" s="104"/>
      <c r="AM14" s="104"/>
      <c r="AN14" s="176" t="s">
        <v>25</v>
      </c>
      <c r="AO14" s="176"/>
      <c r="AP14" s="176"/>
      <c r="AQ14" s="176"/>
      <c r="AR14" s="129"/>
      <c r="AS14" s="129"/>
      <c r="AT14" s="175" t="s">
        <v>36</v>
      </c>
      <c r="AU14" s="175"/>
      <c r="AV14" s="175"/>
      <c r="AW14" s="175"/>
      <c r="AX14" s="104"/>
      <c r="AY14" s="104"/>
      <c r="AZ14" s="176" t="s">
        <v>26</v>
      </c>
      <c r="BA14" s="176"/>
      <c r="BB14" s="176"/>
      <c r="BC14" s="176"/>
      <c r="BD14" s="129"/>
      <c r="BE14" s="129"/>
      <c r="BF14" s="175" t="s">
        <v>37</v>
      </c>
      <c r="BG14" s="175"/>
      <c r="BH14" s="175"/>
      <c r="BI14" s="175"/>
      <c r="BJ14" s="104"/>
      <c r="BK14" s="104"/>
      <c r="BL14" s="104"/>
      <c r="BM14" s="105"/>
      <c r="BN14" s="103"/>
      <c r="BO14" s="104"/>
      <c r="BP14" s="104"/>
      <c r="BQ14" s="104"/>
      <c r="BR14" s="175" t="s">
        <v>33</v>
      </c>
      <c r="BS14" s="175"/>
      <c r="BT14" s="175"/>
      <c r="BU14" s="175"/>
      <c r="BV14" s="104"/>
      <c r="BW14" s="104"/>
      <c r="BX14" s="176" t="s">
        <v>23</v>
      </c>
      <c r="BY14" s="176"/>
      <c r="BZ14" s="176"/>
      <c r="CA14" s="176"/>
      <c r="CB14" s="129"/>
      <c r="CC14" s="129"/>
      <c r="CD14" s="175" t="s">
        <v>34</v>
      </c>
      <c r="CE14" s="175"/>
      <c r="CF14" s="175"/>
      <c r="CG14" s="175"/>
      <c r="CH14" s="104"/>
      <c r="CI14" s="104"/>
      <c r="CJ14" s="176" t="s">
        <v>24</v>
      </c>
      <c r="CK14" s="176"/>
      <c r="CL14" s="176"/>
      <c r="CM14" s="176"/>
      <c r="CN14" s="129"/>
      <c r="CO14" s="129"/>
      <c r="CP14" s="175" t="s">
        <v>35</v>
      </c>
      <c r="CQ14" s="175"/>
      <c r="CR14" s="175"/>
      <c r="CS14" s="175"/>
      <c r="CT14" s="104"/>
      <c r="CU14" s="104"/>
      <c r="CV14" s="176" t="s">
        <v>25</v>
      </c>
      <c r="CW14" s="176"/>
      <c r="CX14" s="176"/>
      <c r="CY14" s="176"/>
      <c r="CZ14" s="129"/>
      <c r="DA14" s="129"/>
      <c r="DB14" s="175" t="s">
        <v>36</v>
      </c>
      <c r="DC14" s="175"/>
      <c r="DD14" s="175"/>
      <c r="DE14" s="175"/>
      <c r="DF14" s="104"/>
      <c r="DG14" s="104"/>
      <c r="DH14" s="176" t="s">
        <v>26</v>
      </c>
      <c r="DI14" s="176"/>
      <c r="DJ14" s="176"/>
      <c r="DK14" s="176"/>
      <c r="DL14" s="129"/>
      <c r="DM14" s="129"/>
      <c r="DN14" s="175" t="s">
        <v>37</v>
      </c>
      <c r="DO14" s="175"/>
      <c r="DP14" s="175"/>
      <c r="DQ14" s="175"/>
      <c r="DR14" s="104"/>
      <c r="DS14" s="104"/>
      <c r="DT14" s="104"/>
      <c r="DU14" s="105"/>
      <c r="DV14" s="103"/>
      <c r="DW14" s="104"/>
      <c r="DX14" s="104"/>
      <c r="DY14" s="104"/>
      <c r="DZ14" s="175" t="s">
        <v>33</v>
      </c>
      <c r="EA14" s="175"/>
      <c r="EB14" s="175"/>
      <c r="EC14" s="175"/>
      <c r="ED14" s="104"/>
      <c r="EE14" s="104"/>
      <c r="EF14" s="176" t="s">
        <v>23</v>
      </c>
      <c r="EG14" s="176"/>
      <c r="EH14" s="176"/>
      <c r="EI14" s="176"/>
      <c r="EJ14" s="129"/>
      <c r="EK14" s="129"/>
      <c r="EL14" s="175" t="s">
        <v>34</v>
      </c>
      <c r="EM14" s="175"/>
      <c r="EN14" s="175"/>
      <c r="EO14" s="175"/>
      <c r="EP14" s="104"/>
      <c r="EQ14" s="104"/>
      <c r="ER14" s="176" t="s">
        <v>24</v>
      </c>
      <c r="ES14" s="176"/>
      <c r="ET14" s="176"/>
      <c r="EU14" s="176"/>
      <c r="EV14" s="129"/>
      <c r="EW14" s="129"/>
      <c r="EX14" s="175" t="s">
        <v>35</v>
      </c>
      <c r="EY14" s="175"/>
      <c r="EZ14" s="175"/>
      <c r="FA14" s="175"/>
      <c r="FB14" s="104"/>
      <c r="FC14" s="104"/>
      <c r="FD14" s="176" t="s">
        <v>25</v>
      </c>
      <c r="FE14" s="176"/>
      <c r="FF14" s="176"/>
      <c r="FG14" s="176"/>
      <c r="FH14" s="129"/>
      <c r="FI14" s="129"/>
      <c r="FJ14" s="175" t="s">
        <v>36</v>
      </c>
      <c r="FK14" s="175"/>
      <c r="FL14" s="175"/>
      <c r="FM14" s="175"/>
      <c r="FN14" s="104"/>
      <c r="FO14" s="104"/>
      <c r="FP14" s="176" t="s">
        <v>26</v>
      </c>
      <c r="FQ14" s="176"/>
      <c r="FR14" s="176"/>
      <c r="FS14" s="176"/>
      <c r="FT14" s="129"/>
      <c r="FU14" s="129"/>
      <c r="FV14" s="175" t="s">
        <v>37</v>
      </c>
      <c r="FW14" s="175"/>
      <c r="FX14" s="175"/>
      <c r="FY14" s="175"/>
      <c r="FZ14" s="104"/>
      <c r="GA14" s="104"/>
      <c r="GB14" s="104"/>
      <c r="GC14" s="105"/>
      <c r="GD14" s="103"/>
      <c r="GE14" s="104"/>
      <c r="GF14" s="104"/>
      <c r="GG14" s="104"/>
      <c r="GH14" s="175" t="s">
        <v>33</v>
      </c>
      <c r="GI14" s="175"/>
      <c r="GJ14" s="175"/>
      <c r="GK14" s="175"/>
      <c r="GL14" s="104"/>
      <c r="GM14" s="104"/>
      <c r="GN14" s="176" t="s">
        <v>23</v>
      </c>
      <c r="GO14" s="176"/>
      <c r="GP14" s="176"/>
      <c r="GQ14" s="176"/>
      <c r="GR14" s="129"/>
      <c r="GS14" s="129"/>
      <c r="GT14" s="175" t="s">
        <v>34</v>
      </c>
      <c r="GU14" s="175"/>
      <c r="GV14" s="175"/>
      <c r="GW14" s="175"/>
      <c r="GX14" s="104"/>
      <c r="GY14" s="104"/>
      <c r="GZ14" s="176" t="s">
        <v>24</v>
      </c>
      <c r="HA14" s="176"/>
      <c r="HB14" s="176"/>
      <c r="HC14" s="176"/>
      <c r="HD14" s="129"/>
      <c r="HE14" s="129"/>
      <c r="HF14" s="175" t="s">
        <v>35</v>
      </c>
      <c r="HG14" s="175"/>
      <c r="HH14" s="175"/>
      <c r="HI14" s="175"/>
      <c r="HJ14" s="104"/>
      <c r="HK14" s="104"/>
      <c r="HL14" s="176" t="s">
        <v>25</v>
      </c>
      <c r="HM14" s="176"/>
      <c r="HN14" s="176"/>
      <c r="HO14" s="176"/>
      <c r="HP14" s="129"/>
      <c r="HQ14" s="129"/>
      <c r="HR14" s="175" t="s">
        <v>36</v>
      </c>
      <c r="HS14" s="175"/>
      <c r="HT14" s="175"/>
      <c r="HU14" s="175"/>
      <c r="HV14" s="104"/>
      <c r="HW14" s="104"/>
      <c r="HX14" s="176" t="s">
        <v>26</v>
      </c>
      <c r="HY14" s="176"/>
      <c r="HZ14" s="176"/>
      <c r="IA14" s="176"/>
      <c r="IB14" s="129"/>
      <c r="IC14" s="129"/>
      <c r="ID14" s="175" t="s">
        <v>37</v>
      </c>
      <c r="IE14" s="175"/>
      <c r="IF14" s="175"/>
      <c r="IG14" s="175"/>
      <c r="IH14" s="104"/>
      <c r="II14" s="104"/>
      <c r="IJ14" s="104"/>
      <c r="IK14" s="105"/>
      <c r="IL14" s="103"/>
      <c r="IM14" s="104"/>
      <c r="IN14" s="104"/>
      <c r="IO14" s="104"/>
      <c r="IP14" s="175" t="s">
        <v>33</v>
      </c>
      <c r="IQ14" s="175"/>
      <c r="IR14" s="175"/>
      <c r="IS14" s="175"/>
      <c r="IT14" s="104"/>
      <c r="IU14" s="104"/>
      <c r="IV14" s="176" t="s">
        <v>23</v>
      </c>
      <c r="IW14" s="176"/>
      <c r="IX14" s="176"/>
      <c r="IY14" s="176"/>
      <c r="IZ14" s="129"/>
      <c r="JA14" s="129"/>
      <c r="JB14" s="175" t="s">
        <v>34</v>
      </c>
      <c r="JC14" s="175"/>
      <c r="JD14" s="175"/>
      <c r="JE14" s="175"/>
      <c r="JF14" s="104"/>
      <c r="JG14" s="104"/>
      <c r="JH14" s="176" t="s">
        <v>24</v>
      </c>
      <c r="JI14" s="176"/>
      <c r="JJ14" s="176"/>
      <c r="JK14" s="176"/>
      <c r="JL14" s="129"/>
      <c r="JM14" s="129"/>
      <c r="JN14" s="175" t="s">
        <v>35</v>
      </c>
      <c r="JO14" s="175"/>
      <c r="JP14" s="175"/>
      <c r="JQ14" s="175"/>
      <c r="JR14" s="104"/>
      <c r="JS14" s="104"/>
      <c r="JT14" s="176" t="s">
        <v>25</v>
      </c>
      <c r="JU14" s="176"/>
      <c r="JV14" s="176"/>
      <c r="JW14" s="176"/>
      <c r="JX14" s="129"/>
      <c r="JY14" s="129"/>
      <c r="JZ14" s="175" t="s">
        <v>36</v>
      </c>
      <c r="KA14" s="175"/>
      <c r="KB14" s="175"/>
      <c r="KC14" s="175"/>
      <c r="KD14" s="104"/>
      <c r="KE14" s="104"/>
      <c r="KF14" s="176" t="s">
        <v>26</v>
      </c>
      <c r="KG14" s="176"/>
      <c r="KH14" s="176"/>
      <c r="KI14" s="176"/>
      <c r="KJ14" s="129"/>
      <c r="KK14" s="129"/>
      <c r="KL14" s="175" t="s">
        <v>37</v>
      </c>
      <c r="KM14" s="175"/>
      <c r="KN14" s="175"/>
      <c r="KO14" s="175"/>
      <c r="KP14" s="104"/>
      <c r="KQ14" s="104"/>
      <c r="KR14" s="104"/>
      <c r="KS14" s="105"/>
      <c r="KT14" s="103"/>
      <c r="KU14" s="104"/>
      <c r="KV14" s="104"/>
      <c r="KW14" s="104"/>
      <c r="KX14" s="175" t="s">
        <v>33</v>
      </c>
      <c r="KY14" s="175"/>
      <c r="KZ14" s="175"/>
      <c r="LA14" s="175"/>
      <c r="LB14" s="104"/>
      <c r="LC14" s="104"/>
      <c r="LD14" s="176" t="s">
        <v>23</v>
      </c>
      <c r="LE14" s="176"/>
      <c r="LF14" s="176"/>
      <c r="LG14" s="176"/>
      <c r="LH14" s="129"/>
      <c r="LI14" s="129"/>
      <c r="LJ14" s="175" t="s">
        <v>34</v>
      </c>
      <c r="LK14" s="175"/>
      <c r="LL14" s="175"/>
      <c r="LM14" s="175"/>
      <c r="LN14" s="104"/>
      <c r="LO14" s="104"/>
      <c r="LP14" s="176" t="s">
        <v>24</v>
      </c>
      <c r="LQ14" s="176"/>
      <c r="LR14" s="176"/>
      <c r="LS14" s="176"/>
      <c r="LT14" s="129"/>
      <c r="LU14" s="129"/>
      <c r="LV14" s="175" t="s">
        <v>35</v>
      </c>
      <c r="LW14" s="175"/>
      <c r="LX14" s="175"/>
      <c r="LY14" s="175"/>
      <c r="LZ14" s="104"/>
      <c r="MA14" s="104"/>
      <c r="MB14" s="176" t="s">
        <v>25</v>
      </c>
      <c r="MC14" s="176"/>
      <c r="MD14" s="176"/>
      <c r="ME14" s="176"/>
      <c r="MF14" s="129"/>
      <c r="MG14" s="129"/>
      <c r="MH14" s="175" t="s">
        <v>36</v>
      </c>
      <c r="MI14" s="175"/>
      <c r="MJ14" s="175"/>
      <c r="MK14" s="175"/>
      <c r="ML14" s="104"/>
      <c r="MM14" s="104"/>
      <c r="MN14" s="176" t="s">
        <v>26</v>
      </c>
      <c r="MO14" s="176"/>
      <c r="MP14" s="176"/>
      <c r="MQ14" s="176"/>
      <c r="MR14" s="129"/>
      <c r="MS14" s="129"/>
      <c r="MT14" s="175" t="s">
        <v>37</v>
      </c>
      <c r="MU14" s="175"/>
      <c r="MV14" s="175"/>
      <c r="MW14" s="175"/>
      <c r="MX14" s="104"/>
      <c r="MY14" s="104"/>
      <c r="MZ14" s="104"/>
      <c r="NA14" s="105"/>
      <c r="NB14" s="103"/>
      <c r="NC14" s="104"/>
      <c r="ND14" s="104"/>
      <c r="NE14" s="104"/>
      <c r="NF14" s="175" t="s">
        <v>33</v>
      </c>
      <c r="NG14" s="175"/>
      <c r="NH14" s="175"/>
      <c r="NI14" s="175"/>
      <c r="NJ14" s="104"/>
      <c r="NK14" s="104"/>
      <c r="NL14" s="176" t="s">
        <v>23</v>
      </c>
      <c r="NM14" s="176"/>
      <c r="NN14" s="176"/>
      <c r="NO14" s="176"/>
      <c r="NP14" s="129"/>
      <c r="NQ14" s="129"/>
      <c r="NR14" s="175" t="s">
        <v>34</v>
      </c>
      <c r="NS14" s="175"/>
      <c r="NT14" s="175"/>
      <c r="NU14" s="175"/>
      <c r="NV14" s="104"/>
      <c r="NW14" s="104"/>
      <c r="NX14" s="176" t="s">
        <v>24</v>
      </c>
      <c r="NY14" s="176"/>
      <c r="NZ14" s="176"/>
      <c r="OA14" s="176"/>
      <c r="OB14" s="129"/>
      <c r="OC14" s="129"/>
      <c r="OD14" s="175" t="s">
        <v>35</v>
      </c>
      <c r="OE14" s="175"/>
      <c r="OF14" s="175"/>
      <c r="OG14" s="175"/>
      <c r="OH14" s="104"/>
      <c r="OI14" s="104"/>
      <c r="OJ14" s="176" t="s">
        <v>25</v>
      </c>
      <c r="OK14" s="176"/>
      <c r="OL14" s="176"/>
      <c r="OM14" s="176"/>
      <c r="ON14" s="129"/>
      <c r="OO14" s="129"/>
      <c r="OP14" s="175" t="s">
        <v>36</v>
      </c>
      <c r="OQ14" s="175"/>
      <c r="OR14" s="175"/>
      <c r="OS14" s="175"/>
      <c r="OT14" s="104"/>
      <c r="OU14" s="104"/>
      <c r="OV14" s="176" t="s">
        <v>26</v>
      </c>
      <c r="OW14" s="176"/>
      <c r="OX14" s="176"/>
      <c r="OY14" s="176"/>
      <c r="OZ14" s="129"/>
      <c r="PA14" s="129"/>
      <c r="PB14" s="175" t="s">
        <v>37</v>
      </c>
      <c r="PC14" s="175"/>
      <c r="PD14" s="175"/>
      <c r="PE14" s="175"/>
      <c r="PF14" s="104"/>
      <c r="PG14" s="104"/>
      <c r="PH14" s="104"/>
      <c r="PI14" s="105"/>
      <c r="PJ14" s="103"/>
      <c r="PK14" s="104"/>
      <c r="PL14" s="104"/>
      <c r="PM14" s="104"/>
      <c r="PN14" s="175" t="s">
        <v>33</v>
      </c>
      <c r="PO14" s="175"/>
      <c r="PP14" s="175"/>
      <c r="PQ14" s="175"/>
      <c r="PR14" s="104"/>
      <c r="PS14" s="104"/>
      <c r="PT14" s="176" t="s">
        <v>23</v>
      </c>
      <c r="PU14" s="176"/>
      <c r="PV14" s="176"/>
      <c r="PW14" s="176"/>
      <c r="PX14" s="129"/>
      <c r="PY14" s="129"/>
      <c r="PZ14" s="175" t="s">
        <v>34</v>
      </c>
      <c r="QA14" s="175"/>
      <c r="QB14" s="175"/>
      <c r="QC14" s="175"/>
      <c r="QD14" s="104"/>
      <c r="QE14" s="104"/>
      <c r="QF14" s="176" t="s">
        <v>24</v>
      </c>
      <c r="QG14" s="176"/>
      <c r="QH14" s="176"/>
      <c r="QI14" s="176"/>
      <c r="QJ14" s="129"/>
      <c r="QK14" s="129"/>
      <c r="QL14" s="175" t="s">
        <v>35</v>
      </c>
      <c r="QM14" s="175"/>
      <c r="QN14" s="175"/>
      <c r="QO14" s="175"/>
      <c r="QP14" s="104"/>
      <c r="QQ14" s="104"/>
      <c r="QR14" s="176" t="s">
        <v>25</v>
      </c>
      <c r="QS14" s="176"/>
      <c r="QT14" s="176"/>
      <c r="QU14" s="176"/>
      <c r="QV14" s="129"/>
      <c r="QW14" s="129"/>
      <c r="QX14" s="175" t="s">
        <v>36</v>
      </c>
      <c r="QY14" s="175"/>
      <c r="QZ14" s="175"/>
      <c r="RA14" s="175"/>
      <c r="RB14" s="104"/>
      <c r="RC14" s="104"/>
      <c r="RD14" s="176" t="s">
        <v>26</v>
      </c>
      <c r="RE14" s="176"/>
      <c r="RF14" s="176"/>
      <c r="RG14" s="176"/>
      <c r="RH14" s="129"/>
      <c r="RI14" s="129"/>
      <c r="RJ14" s="175" t="s">
        <v>37</v>
      </c>
      <c r="RK14" s="175"/>
      <c r="RL14" s="175"/>
      <c r="RM14" s="175"/>
      <c r="RN14" s="104"/>
      <c r="RO14" s="104"/>
      <c r="RP14" s="104"/>
      <c r="RQ14" s="105"/>
      <c r="RR14" s="103"/>
      <c r="RS14" s="104"/>
      <c r="RT14" s="104"/>
      <c r="RU14" s="104"/>
      <c r="RV14" s="175" t="s">
        <v>33</v>
      </c>
      <c r="RW14" s="175"/>
      <c r="RX14" s="175"/>
      <c r="RY14" s="175"/>
      <c r="RZ14" s="104"/>
      <c r="SA14" s="104"/>
      <c r="SB14" s="176" t="s">
        <v>23</v>
      </c>
      <c r="SC14" s="176"/>
      <c r="SD14" s="176"/>
      <c r="SE14" s="176"/>
      <c r="SF14" s="129"/>
      <c r="SG14" s="129"/>
      <c r="SH14" s="175" t="s">
        <v>34</v>
      </c>
      <c r="SI14" s="175"/>
      <c r="SJ14" s="175"/>
      <c r="SK14" s="175"/>
      <c r="SL14" s="104"/>
      <c r="SM14" s="104"/>
      <c r="SN14" s="176" t="s">
        <v>24</v>
      </c>
      <c r="SO14" s="176"/>
      <c r="SP14" s="176"/>
      <c r="SQ14" s="176"/>
      <c r="SR14" s="129"/>
      <c r="SS14" s="129"/>
      <c r="ST14" s="175" t="s">
        <v>35</v>
      </c>
      <c r="SU14" s="175"/>
      <c r="SV14" s="175"/>
      <c r="SW14" s="175"/>
      <c r="SX14" s="104"/>
      <c r="SY14" s="104"/>
      <c r="SZ14" s="176" t="s">
        <v>25</v>
      </c>
      <c r="TA14" s="176"/>
      <c r="TB14" s="176"/>
      <c r="TC14" s="176"/>
      <c r="TD14" s="129"/>
      <c r="TE14" s="129"/>
      <c r="TF14" s="175" t="s">
        <v>36</v>
      </c>
      <c r="TG14" s="175"/>
      <c r="TH14" s="175"/>
      <c r="TI14" s="175"/>
      <c r="TJ14" s="104"/>
      <c r="TK14" s="104"/>
      <c r="TL14" s="176" t="s">
        <v>26</v>
      </c>
      <c r="TM14" s="176"/>
      <c r="TN14" s="176"/>
      <c r="TO14" s="176"/>
      <c r="TP14" s="129"/>
      <c r="TQ14" s="129"/>
      <c r="TR14" s="175" t="s">
        <v>37</v>
      </c>
      <c r="TS14" s="175"/>
      <c r="TT14" s="175"/>
      <c r="TU14" s="175"/>
      <c r="TV14" s="104"/>
      <c r="TW14" s="104"/>
      <c r="TX14" s="104"/>
      <c r="TY14" s="105"/>
      <c r="TZ14" s="103"/>
      <c r="UA14" s="104"/>
      <c r="UB14" s="104"/>
      <c r="UC14" s="104"/>
      <c r="UD14" s="175" t="s">
        <v>33</v>
      </c>
      <c r="UE14" s="175"/>
      <c r="UF14" s="175"/>
      <c r="UG14" s="175"/>
      <c r="UH14" s="104"/>
      <c r="UI14" s="104"/>
      <c r="UJ14" s="176" t="s">
        <v>23</v>
      </c>
      <c r="UK14" s="176"/>
      <c r="UL14" s="176"/>
      <c r="UM14" s="176"/>
      <c r="UN14" s="129"/>
      <c r="UO14" s="129"/>
      <c r="UP14" s="175" t="s">
        <v>34</v>
      </c>
      <c r="UQ14" s="175"/>
      <c r="UR14" s="175"/>
      <c r="US14" s="175"/>
      <c r="UT14" s="104"/>
      <c r="UU14" s="104"/>
      <c r="UV14" s="176" t="s">
        <v>24</v>
      </c>
      <c r="UW14" s="176"/>
      <c r="UX14" s="176"/>
      <c r="UY14" s="176"/>
      <c r="UZ14" s="129"/>
      <c r="VA14" s="129"/>
      <c r="VB14" s="175" t="s">
        <v>35</v>
      </c>
      <c r="VC14" s="175"/>
      <c r="VD14" s="175"/>
      <c r="VE14" s="175"/>
      <c r="VF14" s="104"/>
      <c r="VG14" s="104"/>
      <c r="VH14" s="176" t="s">
        <v>25</v>
      </c>
      <c r="VI14" s="176"/>
      <c r="VJ14" s="176"/>
      <c r="VK14" s="176"/>
      <c r="VL14" s="129"/>
      <c r="VM14" s="129"/>
      <c r="VN14" s="175" t="s">
        <v>36</v>
      </c>
      <c r="VO14" s="175"/>
      <c r="VP14" s="175"/>
      <c r="VQ14" s="175"/>
      <c r="VR14" s="104"/>
      <c r="VS14" s="104"/>
      <c r="VT14" s="176" t="s">
        <v>26</v>
      </c>
      <c r="VU14" s="176"/>
      <c r="VV14" s="176"/>
      <c r="VW14" s="176"/>
      <c r="VX14" s="129"/>
      <c r="VY14" s="129"/>
      <c r="VZ14" s="175" t="s">
        <v>37</v>
      </c>
      <c r="WA14" s="175"/>
      <c r="WB14" s="175"/>
      <c r="WC14" s="175"/>
      <c r="WD14" s="104"/>
      <c r="WE14" s="104"/>
      <c r="WF14" s="104"/>
      <c r="WG14" s="105"/>
      <c r="WH14" s="103"/>
      <c r="WI14" s="104"/>
      <c r="WJ14" s="104"/>
      <c r="WK14" s="104"/>
      <c r="WL14" s="175" t="s">
        <v>33</v>
      </c>
      <c r="WM14" s="175"/>
      <c r="WN14" s="175"/>
      <c r="WO14" s="175"/>
      <c r="WP14" s="104"/>
      <c r="WQ14" s="104"/>
      <c r="WR14" s="176" t="s">
        <v>23</v>
      </c>
      <c r="WS14" s="176"/>
      <c r="WT14" s="176"/>
      <c r="WU14" s="176"/>
      <c r="WV14" s="129"/>
      <c r="WW14" s="129"/>
      <c r="WX14" s="175" t="s">
        <v>34</v>
      </c>
      <c r="WY14" s="175"/>
      <c r="WZ14" s="175"/>
      <c r="XA14" s="175"/>
      <c r="XB14" s="104"/>
      <c r="XC14" s="104"/>
      <c r="XD14" s="176" t="s">
        <v>24</v>
      </c>
      <c r="XE14" s="176"/>
      <c r="XF14" s="176"/>
      <c r="XG14" s="176"/>
      <c r="XH14" s="129"/>
      <c r="XI14" s="129"/>
      <c r="XJ14" s="175" t="s">
        <v>35</v>
      </c>
      <c r="XK14" s="175"/>
      <c r="XL14" s="175"/>
      <c r="XM14" s="175"/>
      <c r="XN14" s="104"/>
      <c r="XO14" s="104"/>
      <c r="XP14" s="176" t="s">
        <v>25</v>
      </c>
      <c r="XQ14" s="176"/>
      <c r="XR14" s="176"/>
      <c r="XS14" s="176"/>
      <c r="XT14" s="129"/>
      <c r="XU14" s="129"/>
      <c r="XV14" s="175" t="s">
        <v>36</v>
      </c>
      <c r="XW14" s="175"/>
      <c r="XX14" s="175"/>
      <c r="XY14" s="175"/>
      <c r="XZ14" s="104"/>
      <c r="YA14" s="104"/>
      <c r="YB14" s="176" t="s">
        <v>26</v>
      </c>
      <c r="YC14" s="176"/>
      <c r="YD14" s="176"/>
      <c r="YE14" s="176"/>
      <c r="YF14" s="129"/>
      <c r="YG14" s="129"/>
      <c r="YH14" s="175" t="s">
        <v>37</v>
      </c>
      <c r="YI14" s="175"/>
      <c r="YJ14" s="175"/>
      <c r="YK14" s="175"/>
      <c r="YL14" s="104"/>
      <c r="YM14" s="104"/>
      <c r="YN14" s="104"/>
      <c r="YO14" s="105"/>
      <c r="YP14" s="103"/>
      <c r="YQ14" s="104"/>
      <c r="YR14" s="104"/>
      <c r="YS14" s="104"/>
      <c r="YT14" s="175" t="s">
        <v>33</v>
      </c>
      <c r="YU14" s="175"/>
      <c r="YV14" s="175"/>
      <c r="YW14" s="175"/>
      <c r="YX14" s="104"/>
      <c r="YY14" s="104"/>
      <c r="YZ14" s="176" t="s">
        <v>23</v>
      </c>
      <c r="ZA14" s="176"/>
      <c r="ZB14" s="176"/>
      <c r="ZC14" s="176"/>
      <c r="ZD14" s="129"/>
      <c r="ZE14" s="129"/>
      <c r="ZF14" s="175" t="s">
        <v>34</v>
      </c>
      <c r="ZG14" s="175"/>
      <c r="ZH14" s="175"/>
      <c r="ZI14" s="175"/>
      <c r="ZJ14" s="104"/>
      <c r="ZK14" s="104"/>
      <c r="ZL14" s="176" t="s">
        <v>24</v>
      </c>
      <c r="ZM14" s="176"/>
      <c r="ZN14" s="176"/>
      <c r="ZO14" s="176"/>
      <c r="ZP14" s="129"/>
      <c r="ZQ14" s="129"/>
      <c r="ZR14" s="175" t="s">
        <v>35</v>
      </c>
      <c r="ZS14" s="175"/>
      <c r="ZT14" s="175"/>
      <c r="ZU14" s="175"/>
      <c r="ZV14" s="104"/>
      <c r="ZW14" s="104"/>
      <c r="ZX14" s="176" t="s">
        <v>25</v>
      </c>
      <c r="ZY14" s="176"/>
      <c r="ZZ14" s="176"/>
      <c r="AAA14" s="176"/>
      <c r="AAB14" s="129"/>
      <c r="AAC14" s="129"/>
      <c r="AAD14" s="175" t="s">
        <v>36</v>
      </c>
      <c r="AAE14" s="175"/>
      <c r="AAF14" s="175"/>
      <c r="AAG14" s="175"/>
      <c r="AAH14" s="104"/>
      <c r="AAI14" s="104"/>
      <c r="AAJ14" s="176" t="s">
        <v>26</v>
      </c>
      <c r="AAK14" s="176"/>
      <c r="AAL14" s="176"/>
      <c r="AAM14" s="176"/>
      <c r="AAN14" s="129"/>
      <c r="AAO14" s="129"/>
      <c r="AAP14" s="175" t="s">
        <v>37</v>
      </c>
      <c r="AAQ14" s="175"/>
      <c r="AAR14" s="175"/>
      <c r="AAS14" s="175"/>
      <c r="AAT14" s="104"/>
      <c r="AAU14" s="104"/>
      <c r="AAV14" s="104"/>
      <c r="AAW14" s="105"/>
      <c r="AAX14" s="103"/>
      <c r="AAY14" s="104"/>
      <c r="AAZ14" s="104"/>
      <c r="ABA14" s="104"/>
      <c r="ABB14" s="175" t="s">
        <v>33</v>
      </c>
      <c r="ABC14" s="175"/>
      <c r="ABD14" s="175"/>
      <c r="ABE14" s="175"/>
      <c r="ABF14" s="104"/>
      <c r="ABG14" s="104"/>
      <c r="ABH14" s="176" t="s">
        <v>23</v>
      </c>
      <c r="ABI14" s="176"/>
      <c r="ABJ14" s="176"/>
      <c r="ABK14" s="176"/>
      <c r="ABL14" s="129"/>
      <c r="ABM14" s="129"/>
      <c r="ABN14" s="175" t="s">
        <v>34</v>
      </c>
      <c r="ABO14" s="175"/>
      <c r="ABP14" s="175"/>
      <c r="ABQ14" s="175"/>
      <c r="ABR14" s="104"/>
      <c r="ABS14" s="104"/>
      <c r="ABT14" s="176" t="s">
        <v>24</v>
      </c>
      <c r="ABU14" s="176"/>
      <c r="ABV14" s="176"/>
      <c r="ABW14" s="176"/>
      <c r="ABX14" s="129"/>
      <c r="ABY14" s="129"/>
      <c r="ABZ14" s="175" t="s">
        <v>35</v>
      </c>
      <c r="ACA14" s="175"/>
      <c r="ACB14" s="175"/>
      <c r="ACC14" s="175"/>
      <c r="ACD14" s="104"/>
      <c r="ACE14" s="104"/>
      <c r="ACF14" s="176" t="s">
        <v>25</v>
      </c>
      <c r="ACG14" s="176"/>
      <c r="ACH14" s="176"/>
      <c r="ACI14" s="176"/>
      <c r="ACJ14" s="129"/>
      <c r="ACK14" s="129"/>
      <c r="ACL14" s="175" t="s">
        <v>36</v>
      </c>
      <c r="ACM14" s="175"/>
      <c r="ACN14" s="175"/>
      <c r="ACO14" s="175"/>
      <c r="ACP14" s="104"/>
      <c r="ACQ14" s="104"/>
      <c r="ACR14" s="176" t="s">
        <v>26</v>
      </c>
      <c r="ACS14" s="176"/>
      <c r="ACT14" s="176"/>
      <c r="ACU14" s="176"/>
      <c r="ACV14" s="129"/>
      <c r="ACW14" s="129"/>
      <c r="ACX14" s="175" t="s">
        <v>37</v>
      </c>
      <c r="ACY14" s="175"/>
      <c r="ACZ14" s="175"/>
      <c r="ADA14" s="175"/>
      <c r="ADB14" s="104"/>
      <c r="ADC14" s="104"/>
      <c r="ADD14" s="104"/>
      <c r="ADE14" s="105"/>
      <c r="ADF14" s="103"/>
      <c r="ADG14" s="104"/>
      <c r="ADH14" s="104"/>
      <c r="ADI14" s="104"/>
      <c r="ADJ14" s="175" t="s">
        <v>33</v>
      </c>
      <c r="ADK14" s="175"/>
      <c r="ADL14" s="175"/>
      <c r="ADM14" s="175"/>
      <c r="ADN14" s="104"/>
      <c r="ADO14" s="104"/>
      <c r="ADP14" s="176" t="s">
        <v>23</v>
      </c>
      <c r="ADQ14" s="176"/>
      <c r="ADR14" s="176"/>
      <c r="ADS14" s="176"/>
      <c r="ADT14" s="129"/>
      <c r="ADU14" s="129"/>
      <c r="ADV14" s="175" t="s">
        <v>34</v>
      </c>
      <c r="ADW14" s="175"/>
      <c r="ADX14" s="175"/>
      <c r="ADY14" s="175"/>
      <c r="ADZ14" s="104"/>
      <c r="AEA14" s="104"/>
      <c r="AEB14" s="176" t="s">
        <v>24</v>
      </c>
      <c r="AEC14" s="176"/>
      <c r="AED14" s="176"/>
      <c r="AEE14" s="176"/>
      <c r="AEF14" s="129"/>
      <c r="AEG14" s="129"/>
      <c r="AEH14" s="175" t="s">
        <v>35</v>
      </c>
      <c r="AEI14" s="175"/>
      <c r="AEJ14" s="175"/>
      <c r="AEK14" s="175"/>
      <c r="AEL14" s="104"/>
      <c r="AEM14" s="104"/>
      <c r="AEN14" s="176" t="s">
        <v>25</v>
      </c>
      <c r="AEO14" s="176"/>
      <c r="AEP14" s="176"/>
      <c r="AEQ14" s="176"/>
      <c r="AER14" s="129"/>
      <c r="AES14" s="129"/>
      <c r="AET14" s="175" t="s">
        <v>36</v>
      </c>
      <c r="AEU14" s="175"/>
      <c r="AEV14" s="175"/>
      <c r="AEW14" s="175"/>
      <c r="AEX14" s="104"/>
      <c r="AEY14" s="104"/>
      <c r="AEZ14" s="176" t="s">
        <v>26</v>
      </c>
      <c r="AFA14" s="176"/>
      <c r="AFB14" s="176"/>
      <c r="AFC14" s="176"/>
      <c r="AFD14" s="129"/>
      <c r="AFE14" s="129"/>
      <c r="AFF14" s="175" t="s">
        <v>37</v>
      </c>
      <c r="AFG14" s="175"/>
      <c r="AFH14" s="175"/>
      <c r="AFI14" s="175"/>
      <c r="AFJ14" s="104"/>
      <c r="AFK14" s="104"/>
      <c r="AFL14" s="104"/>
      <c r="AFM14" s="105"/>
      <c r="AFN14" s="103"/>
      <c r="AFO14" s="104"/>
      <c r="AFP14" s="104"/>
      <c r="AFQ14" s="104"/>
      <c r="AFR14" s="175" t="s">
        <v>33</v>
      </c>
      <c r="AFS14" s="175"/>
      <c r="AFT14" s="175"/>
      <c r="AFU14" s="175"/>
      <c r="AFV14" s="104"/>
      <c r="AFW14" s="104"/>
      <c r="AFX14" s="176" t="s">
        <v>23</v>
      </c>
      <c r="AFY14" s="176"/>
      <c r="AFZ14" s="176"/>
      <c r="AGA14" s="176"/>
      <c r="AGB14" s="129"/>
      <c r="AGC14" s="129"/>
      <c r="AGD14" s="175" t="s">
        <v>34</v>
      </c>
      <c r="AGE14" s="175"/>
      <c r="AGF14" s="175"/>
      <c r="AGG14" s="175"/>
      <c r="AGH14" s="104"/>
      <c r="AGI14" s="104"/>
      <c r="AGJ14" s="176" t="s">
        <v>24</v>
      </c>
      <c r="AGK14" s="176"/>
      <c r="AGL14" s="176"/>
      <c r="AGM14" s="176"/>
      <c r="AGN14" s="129"/>
      <c r="AGO14" s="129"/>
      <c r="AGP14" s="175" t="s">
        <v>35</v>
      </c>
      <c r="AGQ14" s="175"/>
      <c r="AGR14" s="175"/>
      <c r="AGS14" s="175"/>
      <c r="AGT14" s="104"/>
      <c r="AGU14" s="104"/>
      <c r="AGV14" s="176" t="s">
        <v>25</v>
      </c>
      <c r="AGW14" s="176"/>
      <c r="AGX14" s="176"/>
      <c r="AGY14" s="176"/>
      <c r="AGZ14" s="129"/>
      <c r="AHA14" s="129"/>
      <c r="AHB14" s="175" t="s">
        <v>36</v>
      </c>
      <c r="AHC14" s="175"/>
      <c r="AHD14" s="175"/>
      <c r="AHE14" s="175"/>
      <c r="AHF14" s="104"/>
      <c r="AHG14" s="104"/>
      <c r="AHH14" s="176" t="s">
        <v>26</v>
      </c>
      <c r="AHI14" s="176"/>
      <c r="AHJ14" s="176"/>
      <c r="AHK14" s="176"/>
      <c r="AHL14" s="129"/>
      <c r="AHM14" s="129"/>
      <c r="AHN14" s="175" t="s">
        <v>37</v>
      </c>
      <c r="AHO14" s="175"/>
      <c r="AHP14" s="175"/>
      <c r="AHQ14" s="175"/>
      <c r="AHR14" s="104"/>
      <c r="AHS14" s="104"/>
      <c r="AHT14" s="104"/>
      <c r="AHU14" s="105"/>
      <c r="AHV14" s="103"/>
      <c r="AHW14" s="104"/>
      <c r="AHX14" s="104"/>
      <c r="AHY14" s="104"/>
      <c r="AHZ14" s="175" t="s">
        <v>33</v>
      </c>
      <c r="AIA14" s="175"/>
      <c r="AIB14" s="175"/>
      <c r="AIC14" s="175"/>
      <c r="AID14" s="104"/>
      <c r="AIE14" s="104"/>
      <c r="AIF14" s="176" t="s">
        <v>23</v>
      </c>
      <c r="AIG14" s="176"/>
      <c r="AIH14" s="176"/>
      <c r="AII14" s="176"/>
      <c r="AIJ14" s="129"/>
      <c r="AIK14" s="129"/>
      <c r="AIL14" s="175" t="s">
        <v>34</v>
      </c>
      <c r="AIM14" s="175"/>
      <c r="AIN14" s="175"/>
      <c r="AIO14" s="175"/>
      <c r="AIP14" s="104"/>
      <c r="AIQ14" s="104"/>
      <c r="AIR14" s="176" t="s">
        <v>24</v>
      </c>
      <c r="AIS14" s="176"/>
      <c r="AIT14" s="176"/>
      <c r="AIU14" s="176"/>
      <c r="AIV14" s="129"/>
      <c r="AIW14" s="129"/>
      <c r="AIX14" s="175" t="s">
        <v>35</v>
      </c>
      <c r="AIY14" s="175"/>
      <c r="AIZ14" s="175"/>
      <c r="AJA14" s="175"/>
      <c r="AJB14" s="104"/>
      <c r="AJC14" s="104"/>
      <c r="AJD14" s="176" t="s">
        <v>25</v>
      </c>
      <c r="AJE14" s="176"/>
      <c r="AJF14" s="176"/>
      <c r="AJG14" s="176"/>
      <c r="AJH14" s="129"/>
      <c r="AJI14" s="129"/>
      <c r="AJJ14" s="175" t="s">
        <v>36</v>
      </c>
      <c r="AJK14" s="175"/>
      <c r="AJL14" s="175"/>
      <c r="AJM14" s="175"/>
      <c r="AJN14" s="104"/>
      <c r="AJO14" s="104"/>
      <c r="AJP14" s="176" t="s">
        <v>26</v>
      </c>
      <c r="AJQ14" s="176"/>
      <c r="AJR14" s="176"/>
      <c r="AJS14" s="176"/>
      <c r="AJT14" s="129"/>
      <c r="AJU14" s="129"/>
      <c r="AJV14" s="175" t="s">
        <v>37</v>
      </c>
      <c r="AJW14" s="175"/>
      <c r="AJX14" s="175"/>
      <c r="AJY14" s="175"/>
      <c r="AJZ14" s="104"/>
      <c r="AKA14" s="104"/>
      <c r="AKB14" s="104"/>
      <c r="AKC14" s="105"/>
      <c r="AKD14" s="103"/>
      <c r="AKE14" s="104"/>
      <c r="AKF14" s="104"/>
      <c r="AKG14" s="104"/>
      <c r="AKH14" s="175" t="s">
        <v>33</v>
      </c>
      <c r="AKI14" s="175"/>
      <c r="AKJ14" s="175"/>
      <c r="AKK14" s="175"/>
      <c r="AKL14" s="104"/>
      <c r="AKM14" s="104"/>
      <c r="AKN14" s="176" t="s">
        <v>23</v>
      </c>
      <c r="AKO14" s="176"/>
      <c r="AKP14" s="176"/>
      <c r="AKQ14" s="176"/>
      <c r="AKR14" s="129"/>
      <c r="AKS14" s="129"/>
      <c r="AKT14" s="175" t="s">
        <v>34</v>
      </c>
      <c r="AKU14" s="175"/>
      <c r="AKV14" s="175"/>
      <c r="AKW14" s="175"/>
      <c r="AKX14" s="104"/>
      <c r="AKY14" s="104"/>
      <c r="AKZ14" s="176" t="s">
        <v>24</v>
      </c>
      <c r="ALA14" s="176"/>
      <c r="ALB14" s="176"/>
      <c r="ALC14" s="176"/>
      <c r="ALD14" s="129"/>
      <c r="ALE14" s="129"/>
      <c r="ALF14" s="175" t="s">
        <v>35</v>
      </c>
      <c r="ALG14" s="175"/>
      <c r="ALH14" s="175"/>
      <c r="ALI14" s="175"/>
      <c r="ALJ14" s="104"/>
      <c r="ALK14" s="104"/>
      <c r="ALL14" s="176" t="s">
        <v>25</v>
      </c>
      <c r="ALM14" s="176"/>
      <c r="ALN14" s="176"/>
      <c r="ALO14" s="176"/>
      <c r="ALP14" s="129"/>
      <c r="ALQ14" s="129"/>
      <c r="ALR14" s="175" t="s">
        <v>36</v>
      </c>
      <c r="ALS14" s="175"/>
      <c r="ALT14" s="175"/>
      <c r="ALU14" s="175"/>
      <c r="ALV14" s="104"/>
      <c r="ALW14" s="104"/>
      <c r="ALX14" s="176" t="s">
        <v>26</v>
      </c>
      <c r="ALY14" s="176"/>
      <c r="ALZ14" s="176"/>
      <c r="AMA14" s="176"/>
      <c r="AMB14" s="129"/>
      <c r="AMC14" s="129"/>
      <c r="AMD14" s="175" t="s">
        <v>37</v>
      </c>
      <c r="AME14" s="175"/>
      <c r="AMF14" s="175"/>
      <c r="AMG14" s="175"/>
      <c r="AMH14" s="104"/>
      <c r="AMI14" s="104"/>
      <c r="AMJ14" s="104"/>
      <c r="AMK14" s="105"/>
      <c r="AML14" s="103"/>
      <c r="AMM14" s="104"/>
      <c r="AMN14" s="104"/>
      <c r="AMO14" s="104"/>
      <c r="AMP14" s="175" t="s">
        <v>33</v>
      </c>
      <c r="AMQ14" s="175"/>
      <c r="AMR14" s="175"/>
      <c r="AMS14" s="175"/>
      <c r="AMT14" s="104"/>
      <c r="AMU14" s="104"/>
      <c r="AMV14" s="176" t="s">
        <v>23</v>
      </c>
      <c r="AMW14" s="176"/>
      <c r="AMX14" s="176"/>
      <c r="AMY14" s="176"/>
      <c r="AMZ14" s="129"/>
      <c r="ANA14" s="129"/>
      <c r="ANB14" s="175" t="s">
        <v>34</v>
      </c>
      <c r="ANC14" s="175"/>
      <c r="AND14" s="175"/>
      <c r="ANE14" s="175"/>
      <c r="ANF14" s="104"/>
      <c r="ANG14" s="104"/>
      <c r="ANH14" s="176" t="s">
        <v>24</v>
      </c>
      <c r="ANI14" s="176"/>
      <c r="ANJ14" s="176"/>
      <c r="ANK14" s="176"/>
      <c r="ANL14" s="129"/>
      <c r="ANM14" s="129"/>
      <c r="ANN14" s="175" t="s">
        <v>35</v>
      </c>
      <c r="ANO14" s="175"/>
      <c r="ANP14" s="175"/>
      <c r="ANQ14" s="175"/>
      <c r="ANR14" s="104"/>
      <c r="ANS14" s="104"/>
      <c r="ANT14" s="176" t="s">
        <v>25</v>
      </c>
      <c r="ANU14" s="176"/>
      <c r="ANV14" s="176"/>
      <c r="ANW14" s="176"/>
      <c r="ANX14" s="129"/>
      <c r="ANY14" s="129"/>
      <c r="ANZ14" s="175" t="s">
        <v>36</v>
      </c>
      <c r="AOA14" s="175"/>
      <c r="AOB14" s="175"/>
      <c r="AOC14" s="175"/>
      <c r="AOD14" s="104"/>
      <c r="AOE14" s="104"/>
      <c r="AOF14" s="176" t="s">
        <v>26</v>
      </c>
      <c r="AOG14" s="176"/>
      <c r="AOH14" s="176"/>
      <c r="AOI14" s="176"/>
      <c r="AOJ14" s="129"/>
      <c r="AOK14" s="129"/>
      <c r="AOL14" s="175" t="s">
        <v>37</v>
      </c>
      <c r="AOM14" s="175"/>
      <c r="AON14" s="175"/>
      <c r="AOO14" s="175"/>
      <c r="AOP14" s="104"/>
      <c r="AOQ14" s="104"/>
      <c r="AOR14" s="104"/>
      <c r="AOS14" s="105"/>
      <c r="AOT14" s="103"/>
      <c r="AOU14" s="104"/>
      <c r="AOV14" s="104"/>
      <c r="AOW14" s="104"/>
      <c r="AOX14" s="175" t="s">
        <v>33</v>
      </c>
      <c r="AOY14" s="175"/>
      <c r="AOZ14" s="175"/>
      <c r="APA14" s="175"/>
      <c r="APB14" s="104"/>
      <c r="APC14" s="104"/>
      <c r="APD14" s="176" t="s">
        <v>23</v>
      </c>
      <c r="APE14" s="176"/>
      <c r="APF14" s="176"/>
      <c r="APG14" s="176"/>
      <c r="APH14" s="129"/>
      <c r="API14" s="129"/>
      <c r="APJ14" s="175" t="s">
        <v>34</v>
      </c>
      <c r="APK14" s="175"/>
      <c r="APL14" s="175"/>
      <c r="APM14" s="175"/>
      <c r="APN14" s="104"/>
      <c r="APO14" s="104"/>
      <c r="APP14" s="176" t="s">
        <v>24</v>
      </c>
      <c r="APQ14" s="176"/>
      <c r="APR14" s="176"/>
      <c r="APS14" s="176"/>
      <c r="APT14" s="129"/>
      <c r="APU14" s="129"/>
      <c r="APV14" s="175" t="s">
        <v>35</v>
      </c>
      <c r="APW14" s="175"/>
      <c r="APX14" s="175"/>
      <c r="APY14" s="175"/>
      <c r="APZ14" s="104"/>
      <c r="AQA14" s="104"/>
      <c r="AQB14" s="176" t="s">
        <v>25</v>
      </c>
      <c r="AQC14" s="176"/>
      <c r="AQD14" s="176"/>
      <c r="AQE14" s="176"/>
      <c r="AQF14" s="129"/>
      <c r="AQG14" s="129"/>
      <c r="AQH14" s="175" t="s">
        <v>36</v>
      </c>
      <c r="AQI14" s="175"/>
      <c r="AQJ14" s="175"/>
      <c r="AQK14" s="175"/>
      <c r="AQL14" s="104"/>
      <c r="AQM14" s="104"/>
      <c r="AQN14" s="176" t="s">
        <v>26</v>
      </c>
      <c r="AQO14" s="176"/>
      <c r="AQP14" s="176"/>
      <c r="AQQ14" s="176"/>
      <c r="AQR14" s="129"/>
      <c r="AQS14" s="129"/>
      <c r="AQT14" s="175" t="s">
        <v>37</v>
      </c>
      <c r="AQU14" s="175"/>
      <c r="AQV14" s="175"/>
      <c r="AQW14" s="175"/>
      <c r="AQX14" s="104"/>
      <c r="AQY14" s="104"/>
      <c r="AQZ14" s="104"/>
      <c r="ARA14" s="105"/>
      <c r="ARB14" s="103"/>
      <c r="ARC14" s="104"/>
      <c r="ARD14" s="104"/>
      <c r="ARE14" s="104"/>
      <c r="ARF14" s="175" t="s">
        <v>33</v>
      </c>
      <c r="ARG14" s="175"/>
      <c r="ARH14" s="175"/>
      <c r="ARI14" s="175"/>
      <c r="ARJ14" s="104"/>
      <c r="ARK14" s="104"/>
      <c r="ARL14" s="176" t="s">
        <v>23</v>
      </c>
      <c r="ARM14" s="176"/>
      <c r="ARN14" s="176"/>
      <c r="ARO14" s="176"/>
      <c r="ARP14" s="129"/>
      <c r="ARQ14" s="129"/>
      <c r="ARR14" s="175" t="s">
        <v>34</v>
      </c>
      <c r="ARS14" s="175"/>
      <c r="ART14" s="175"/>
      <c r="ARU14" s="175"/>
      <c r="ARV14" s="104"/>
      <c r="ARW14" s="104"/>
      <c r="ARX14" s="176" t="s">
        <v>24</v>
      </c>
      <c r="ARY14" s="176"/>
      <c r="ARZ14" s="176"/>
      <c r="ASA14" s="176"/>
      <c r="ASB14" s="129"/>
      <c r="ASC14" s="129"/>
      <c r="ASD14" s="175" t="s">
        <v>35</v>
      </c>
      <c r="ASE14" s="175"/>
      <c r="ASF14" s="175"/>
      <c r="ASG14" s="175"/>
      <c r="ASH14" s="104"/>
      <c r="ASI14" s="104"/>
      <c r="ASJ14" s="176" t="s">
        <v>25</v>
      </c>
      <c r="ASK14" s="176"/>
      <c r="ASL14" s="176"/>
      <c r="ASM14" s="176"/>
      <c r="ASN14" s="129"/>
      <c r="ASO14" s="129"/>
      <c r="ASP14" s="175" t="s">
        <v>36</v>
      </c>
      <c r="ASQ14" s="175"/>
      <c r="ASR14" s="175"/>
      <c r="ASS14" s="175"/>
      <c r="AST14" s="104"/>
      <c r="ASU14" s="104"/>
      <c r="ASV14" s="176" t="s">
        <v>26</v>
      </c>
      <c r="ASW14" s="176"/>
      <c r="ASX14" s="176"/>
      <c r="ASY14" s="176"/>
      <c r="ASZ14" s="129"/>
      <c r="ATA14" s="129"/>
      <c r="ATB14" s="175" t="s">
        <v>37</v>
      </c>
      <c r="ATC14" s="175"/>
      <c r="ATD14" s="175"/>
      <c r="ATE14" s="175"/>
      <c r="ATF14" s="104"/>
      <c r="ATG14" s="104"/>
      <c r="ATH14" s="104"/>
      <c r="ATI14" s="105"/>
      <c r="ATJ14" s="103"/>
      <c r="ATK14" s="104"/>
      <c r="ATL14" s="104"/>
      <c r="ATM14" s="104"/>
      <c r="ATN14" s="175" t="s">
        <v>33</v>
      </c>
      <c r="ATO14" s="175"/>
      <c r="ATP14" s="175"/>
      <c r="ATQ14" s="175"/>
      <c r="ATR14" s="104"/>
      <c r="ATS14" s="104"/>
      <c r="ATT14" s="176" t="s">
        <v>23</v>
      </c>
      <c r="ATU14" s="176"/>
      <c r="ATV14" s="176"/>
      <c r="ATW14" s="176"/>
      <c r="ATX14" s="129"/>
      <c r="ATY14" s="129"/>
      <c r="ATZ14" s="175" t="s">
        <v>34</v>
      </c>
      <c r="AUA14" s="175"/>
      <c r="AUB14" s="175"/>
      <c r="AUC14" s="175"/>
      <c r="AUD14" s="104"/>
      <c r="AUE14" s="104"/>
      <c r="AUF14" s="176" t="s">
        <v>24</v>
      </c>
      <c r="AUG14" s="176"/>
      <c r="AUH14" s="176"/>
      <c r="AUI14" s="176"/>
      <c r="AUJ14" s="129"/>
      <c r="AUK14" s="129"/>
      <c r="AUL14" s="175" t="s">
        <v>35</v>
      </c>
      <c r="AUM14" s="175"/>
      <c r="AUN14" s="175"/>
      <c r="AUO14" s="175"/>
      <c r="AUP14" s="104"/>
      <c r="AUQ14" s="104"/>
      <c r="AUR14" s="176" t="s">
        <v>25</v>
      </c>
      <c r="AUS14" s="176"/>
      <c r="AUT14" s="176"/>
      <c r="AUU14" s="176"/>
      <c r="AUV14" s="129"/>
      <c r="AUW14" s="129"/>
      <c r="AUX14" s="175" t="s">
        <v>36</v>
      </c>
      <c r="AUY14" s="175"/>
      <c r="AUZ14" s="175"/>
      <c r="AVA14" s="175"/>
      <c r="AVB14" s="104"/>
      <c r="AVC14" s="104"/>
      <c r="AVD14" s="176" t="s">
        <v>26</v>
      </c>
      <c r="AVE14" s="176"/>
      <c r="AVF14" s="176"/>
      <c r="AVG14" s="176"/>
      <c r="AVH14" s="129"/>
      <c r="AVI14" s="129"/>
      <c r="AVJ14" s="175" t="s">
        <v>37</v>
      </c>
      <c r="AVK14" s="175"/>
      <c r="AVL14" s="175"/>
      <c r="AVM14" s="175"/>
      <c r="AVN14" s="104"/>
      <c r="AVO14" s="104"/>
      <c r="AVP14" s="104"/>
      <c r="AVQ14" s="105"/>
      <c r="AVR14" s="103"/>
      <c r="AVS14" s="104"/>
      <c r="AVT14" s="104"/>
      <c r="AVU14" s="104"/>
      <c r="AVV14" s="175" t="s">
        <v>33</v>
      </c>
      <c r="AVW14" s="175"/>
      <c r="AVX14" s="175"/>
      <c r="AVY14" s="175"/>
      <c r="AVZ14" s="104"/>
      <c r="AWA14" s="104"/>
      <c r="AWB14" s="176" t="s">
        <v>23</v>
      </c>
      <c r="AWC14" s="176"/>
      <c r="AWD14" s="176"/>
      <c r="AWE14" s="176"/>
      <c r="AWF14" s="129"/>
      <c r="AWG14" s="129"/>
      <c r="AWH14" s="175" t="s">
        <v>34</v>
      </c>
      <c r="AWI14" s="175"/>
      <c r="AWJ14" s="175"/>
      <c r="AWK14" s="175"/>
      <c r="AWL14" s="104"/>
      <c r="AWM14" s="104"/>
      <c r="AWN14" s="176" t="s">
        <v>24</v>
      </c>
      <c r="AWO14" s="176"/>
      <c r="AWP14" s="176"/>
      <c r="AWQ14" s="176"/>
      <c r="AWR14" s="129"/>
      <c r="AWS14" s="129"/>
      <c r="AWT14" s="175" t="s">
        <v>35</v>
      </c>
      <c r="AWU14" s="175"/>
      <c r="AWV14" s="175"/>
      <c r="AWW14" s="175"/>
      <c r="AWX14" s="104"/>
      <c r="AWY14" s="104"/>
      <c r="AWZ14" s="176" t="s">
        <v>25</v>
      </c>
      <c r="AXA14" s="176"/>
      <c r="AXB14" s="176"/>
      <c r="AXC14" s="176"/>
      <c r="AXD14" s="129"/>
      <c r="AXE14" s="129"/>
      <c r="AXF14" s="175" t="s">
        <v>36</v>
      </c>
      <c r="AXG14" s="175"/>
      <c r="AXH14" s="175"/>
      <c r="AXI14" s="175"/>
      <c r="AXJ14" s="104"/>
      <c r="AXK14" s="104"/>
      <c r="AXL14" s="176" t="s">
        <v>26</v>
      </c>
      <c r="AXM14" s="176"/>
      <c r="AXN14" s="176"/>
      <c r="AXO14" s="176"/>
      <c r="AXP14" s="129"/>
      <c r="AXQ14" s="129"/>
      <c r="AXR14" s="175" t="s">
        <v>37</v>
      </c>
      <c r="AXS14" s="175"/>
      <c r="AXT14" s="175"/>
      <c r="AXU14" s="175"/>
      <c r="AXV14" s="104"/>
      <c r="AXW14" s="104"/>
      <c r="AXX14" s="104"/>
      <c r="AXY14" s="105"/>
      <c r="AXZ14" s="103"/>
      <c r="AYA14" s="104"/>
      <c r="AYB14" s="104"/>
      <c r="AYC14" s="104"/>
      <c r="AYD14" s="175" t="s">
        <v>33</v>
      </c>
      <c r="AYE14" s="175"/>
      <c r="AYF14" s="175"/>
      <c r="AYG14" s="175"/>
      <c r="AYH14" s="104"/>
      <c r="AYI14" s="104"/>
      <c r="AYJ14" s="176" t="s">
        <v>23</v>
      </c>
      <c r="AYK14" s="176"/>
      <c r="AYL14" s="176"/>
      <c r="AYM14" s="176"/>
      <c r="AYN14" s="129"/>
      <c r="AYO14" s="129"/>
      <c r="AYP14" s="175" t="s">
        <v>34</v>
      </c>
      <c r="AYQ14" s="175"/>
      <c r="AYR14" s="175"/>
      <c r="AYS14" s="175"/>
      <c r="AYT14" s="104"/>
      <c r="AYU14" s="104"/>
      <c r="AYV14" s="176" t="s">
        <v>24</v>
      </c>
      <c r="AYW14" s="176"/>
      <c r="AYX14" s="176"/>
      <c r="AYY14" s="176"/>
      <c r="AYZ14" s="129"/>
      <c r="AZA14" s="129"/>
      <c r="AZB14" s="175" t="s">
        <v>35</v>
      </c>
      <c r="AZC14" s="175"/>
      <c r="AZD14" s="175"/>
      <c r="AZE14" s="175"/>
      <c r="AZF14" s="104"/>
      <c r="AZG14" s="104"/>
      <c r="AZH14" s="176" t="s">
        <v>25</v>
      </c>
      <c r="AZI14" s="176"/>
      <c r="AZJ14" s="176"/>
      <c r="AZK14" s="176"/>
      <c r="AZL14" s="129"/>
      <c r="AZM14" s="129"/>
      <c r="AZN14" s="175" t="s">
        <v>36</v>
      </c>
      <c r="AZO14" s="175"/>
      <c r="AZP14" s="175"/>
      <c r="AZQ14" s="175"/>
      <c r="AZR14" s="104"/>
      <c r="AZS14" s="104"/>
      <c r="AZT14" s="176" t="s">
        <v>26</v>
      </c>
      <c r="AZU14" s="176"/>
      <c r="AZV14" s="176"/>
      <c r="AZW14" s="176"/>
      <c r="AZX14" s="129"/>
      <c r="AZY14" s="129"/>
      <c r="AZZ14" s="175" t="s">
        <v>37</v>
      </c>
      <c r="BAA14" s="175"/>
      <c r="BAB14" s="175"/>
      <c r="BAC14" s="175"/>
      <c r="BAD14" s="104"/>
      <c r="BAE14" s="104"/>
      <c r="BAF14" s="104"/>
      <c r="BAG14" s="105"/>
      <c r="BAH14" s="103"/>
      <c r="BAI14" s="104"/>
      <c r="BAJ14" s="104"/>
      <c r="BAK14" s="104"/>
      <c r="BAL14" s="175" t="s">
        <v>33</v>
      </c>
      <c r="BAM14" s="175"/>
      <c r="BAN14" s="175"/>
      <c r="BAO14" s="175"/>
      <c r="BAP14" s="104"/>
      <c r="BAQ14" s="104"/>
      <c r="BAR14" s="176" t="s">
        <v>23</v>
      </c>
      <c r="BAS14" s="176"/>
      <c r="BAT14" s="176"/>
      <c r="BAU14" s="176"/>
      <c r="BAV14" s="129"/>
      <c r="BAW14" s="129"/>
      <c r="BAX14" s="175" t="s">
        <v>34</v>
      </c>
      <c r="BAY14" s="175"/>
      <c r="BAZ14" s="175"/>
      <c r="BBA14" s="175"/>
      <c r="BBB14" s="104"/>
      <c r="BBC14" s="104"/>
      <c r="BBD14" s="176" t="s">
        <v>24</v>
      </c>
      <c r="BBE14" s="176"/>
      <c r="BBF14" s="176"/>
      <c r="BBG14" s="176"/>
      <c r="BBH14" s="129"/>
      <c r="BBI14" s="129"/>
      <c r="BBJ14" s="175" t="s">
        <v>35</v>
      </c>
      <c r="BBK14" s="175"/>
      <c r="BBL14" s="175"/>
      <c r="BBM14" s="175"/>
      <c r="BBN14" s="104"/>
      <c r="BBO14" s="104"/>
      <c r="BBP14" s="176" t="s">
        <v>25</v>
      </c>
      <c r="BBQ14" s="176"/>
      <c r="BBR14" s="176"/>
      <c r="BBS14" s="176"/>
      <c r="BBT14" s="129"/>
      <c r="BBU14" s="129"/>
      <c r="BBV14" s="175" t="s">
        <v>36</v>
      </c>
      <c r="BBW14" s="175"/>
      <c r="BBX14" s="175"/>
      <c r="BBY14" s="175"/>
      <c r="BBZ14" s="104"/>
      <c r="BCA14" s="104"/>
      <c r="BCB14" s="176" t="s">
        <v>26</v>
      </c>
      <c r="BCC14" s="176"/>
      <c r="BCD14" s="176"/>
      <c r="BCE14" s="176"/>
      <c r="BCF14" s="129"/>
      <c r="BCG14" s="129"/>
      <c r="BCH14" s="175" t="s">
        <v>37</v>
      </c>
      <c r="BCI14" s="175"/>
      <c r="BCJ14" s="175"/>
      <c r="BCK14" s="175"/>
      <c r="BCL14" s="104"/>
      <c r="BCM14" s="104"/>
      <c r="BCN14" s="104"/>
      <c r="BCO14" s="105"/>
      <c r="BCP14" s="103"/>
      <c r="BCQ14" s="104"/>
      <c r="BCR14" s="104"/>
      <c r="BCS14" s="104"/>
      <c r="BCT14" s="175" t="s">
        <v>33</v>
      </c>
      <c r="BCU14" s="175"/>
      <c r="BCV14" s="175"/>
      <c r="BCW14" s="175"/>
      <c r="BCX14" s="104"/>
      <c r="BCY14" s="104"/>
      <c r="BCZ14" s="176" t="s">
        <v>23</v>
      </c>
      <c r="BDA14" s="176"/>
      <c r="BDB14" s="176"/>
      <c r="BDC14" s="176"/>
      <c r="BDD14" s="129"/>
      <c r="BDE14" s="129"/>
      <c r="BDF14" s="175" t="s">
        <v>34</v>
      </c>
      <c r="BDG14" s="175"/>
      <c r="BDH14" s="175"/>
      <c r="BDI14" s="175"/>
      <c r="BDJ14" s="104"/>
      <c r="BDK14" s="104"/>
      <c r="BDL14" s="176" t="s">
        <v>24</v>
      </c>
      <c r="BDM14" s="176"/>
      <c r="BDN14" s="176"/>
      <c r="BDO14" s="176"/>
      <c r="BDP14" s="129"/>
      <c r="BDQ14" s="129"/>
      <c r="BDR14" s="175" t="s">
        <v>35</v>
      </c>
      <c r="BDS14" s="175"/>
      <c r="BDT14" s="175"/>
      <c r="BDU14" s="175"/>
      <c r="BDV14" s="104"/>
      <c r="BDW14" s="104"/>
      <c r="BDX14" s="176" t="s">
        <v>25</v>
      </c>
      <c r="BDY14" s="176"/>
      <c r="BDZ14" s="176"/>
      <c r="BEA14" s="176"/>
      <c r="BEB14" s="129"/>
      <c r="BEC14" s="129"/>
      <c r="BED14" s="175" t="s">
        <v>36</v>
      </c>
      <c r="BEE14" s="175"/>
      <c r="BEF14" s="175"/>
      <c r="BEG14" s="175"/>
      <c r="BEH14" s="104"/>
      <c r="BEI14" s="104"/>
      <c r="BEJ14" s="176" t="s">
        <v>26</v>
      </c>
      <c r="BEK14" s="176"/>
      <c r="BEL14" s="176"/>
      <c r="BEM14" s="176"/>
      <c r="BEN14" s="129"/>
      <c r="BEO14" s="129"/>
      <c r="BEP14" s="175" t="s">
        <v>37</v>
      </c>
      <c r="BEQ14" s="175"/>
      <c r="BER14" s="175"/>
      <c r="BES14" s="175"/>
      <c r="BET14" s="104"/>
      <c r="BEU14" s="104"/>
      <c r="BEV14" s="104"/>
      <c r="BEW14" s="105"/>
      <c r="BEX14" s="103"/>
      <c r="BEY14" s="104"/>
      <c r="BEZ14" s="104"/>
      <c r="BFA14" s="104"/>
      <c r="BFB14" s="175" t="s">
        <v>33</v>
      </c>
      <c r="BFC14" s="175"/>
      <c r="BFD14" s="175"/>
      <c r="BFE14" s="175"/>
      <c r="BFF14" s="104"/>
      <c r="BFG14" s="104"/>
      <c r="BFH14" s="176" t="s">
        <v>23</v>
      </c>
      <c r="BFI14" s="176"/>
      <c r="BFJ14" s="176"/>
      <c r="BFK14" s="176"/>
      <c r="BFL14" s="129"/>
      <c r="BFM14" s="129"/>
      <c r="BFN14" s="175" t="s">
        <v>34</v>
      </c>
      <c r="BFO14" s="175"/>
      <c r="BFP14" s="175"/>
      <c r="BFQ14" s="175"/>
      <c r="BFR14" s="104"/>
      <c r="BFS14" s="104"/>
      <c r="BFT14" s="176" t="s">
        <v>24</v>
      </c>
      <c r="BFU14" s="176"/>
      <c r="BFV14" s="176"/>
      <c r="BFW14" s="176"/>
      <c r="BFX14" s="129"/>
      <c r="BFY14" s="129"/>
      <c r="BFZ14" s="175" t="s">
        <v>35</v>
      </c>
      <c r="BGA14" s="175"/>
      <c r="BGB14" s="175"/>
      <c r="BGC14" s="175"/>
      <c r="BGD14" s="104"/>
      <c r="BGE14" s="104"/>
      <c r="BGF14" s="176" t="s">
        <v>25</v>
      </c>
      <c r="BGG14" s="176"/>
      <c r="BGH14" s="176"/>
      <c r="BGI14" s="176"/>
      <c r="BGJ14" s="129"/>
      <c r="BGK14" s="129"/>
      <c r="BGL14" s="175" t="s">
        <v>36</v>
      </c>
      <c r="BGM14" s="175"/>
      <c r="BGN14" s="175"/>
      <c r="BGO14" s="175"/>
      <c r="BGP14" s="104"/>
      <c r="BGQ14" s="104"/>
      <c r="BGR14" s="176" t="s">
        <v>26</v>
      </c>
      <c r="BGS14" s="176"/>
      <c r="BGT14" s="176"/>
      <c r="BGU14" s="176"/>
      <c r="BGV14" s="129"/>
      <c r="BGW14" s="129"/>
      <c r="BGX14" s="175" t="s">
        <v>37</v>
      </c>
      <c r="BGY14" s="175"/>
      <c r="BGZ14" s="175"/>
      <c r="BHA14" s="175"/>
      <c r="BHB14" s="104"/>
      <c r="BHC14" s="104"/>
      <c r="BHD14" s="104"/>
      <c r="BHE14" s="105"/>
      <c r="BHF14" s="103"/>
      <c r="BHG14" s="104"/>
      <c r="BHH14" s="104"/>
      <c r="BHI14" s="104"/>
      <c r="BHJ14" s="175" t="s">
        <v>33</v>
      </c>
      <c r="BHK14" s="175"/>
      <c r="BHL14" s="175"/>
      <c r="BHM14" s="175"/>
      <c r="BHN14" s="104"/>
      <c r="BHO14" s="104"/>
      <c r="BHP14" s="176" t="s">
        <v>23</v>
      </c>
      <c r="BHQ14" s="176"/>
      <c r="BHR14" s="176"/>
      <c r="BHS14" s="176"/>
      <c r="BHT14" s="129"/>
      <c r="BHU14" s="129"/>
      <c r="BHV14" s="175" t="s">
        <v>34</v>
      </c>
      <c r="BHW14" s="175"/>
      <c r="BHX14" s="175"/>
      <c r="BHY14" s="175"/>
      <c r="BHZ14" s="104"/>
      <c r="BIA14" s="104"/>
      <c r="BIB14" s="176" t="s">
        <v>24</v>
      </c>
      <c r="BIC14" s="176"/>
      <c r="BID14" s="176"/>
      <c r="BIE14" s="176"/>
      <c r="BIF14" s="129"/>
      <c r="BIG14" s="129"/>
      <c r="BIH14" s="175" t="s">
        <v>35</v>
      </c>
      <c r="BII14" s="175"/>
      <c r="BIJ14" s="175"/>
      <c r="BIK14" s="175"/>
      <c r="BIL14" s="104"/>
      <c r="BIM14" s="104"/>
      <c r="BIN14" s="176" t="s">
        <v>25</v>
      </c>
      <c r="BIO14" s="176"/>
      <c r="BIP14" s="176"/>
      <c r="BIQ14" s="176"/>
      <c r="BIR14" s="129"/>
      <c r="BIS14" s="129"/>
      <c r="BIT14" s="175" t="s">
        <v>36</v>
      </c>
      <c r="BIU14" s="175"/>
      <c r="BIV14" s="175"/>
      <c r="BIW14" s="175"/>
      <c r="BIX14" s="104"/>
      <c r="BIY14" s="104"/>
      <c r="BIZ14" s="176" t="s">
        <v>26</v>
      </c>
      <c r="BJA14" s="176"/>
      <c r="BJB14" s="176"/>
      <c r="BJC14" s="176"/>
      <c r="BJD14" s="129"/>
      <c r="BJE14" s="129"/>
      <c r="BJF14" s="175" t="s">
        <v>37</v>
      </c>
      <c r="BJG14" s="175"/>
      <c r="BJH14" s="175"/>
      <c r="BJI14" s="175"/>
      <c r="BJJ14" s="104"/>
      <c r="BJK14" s="104"/>
      <c r="BJL14" s="104"/>
      <c r="BJM14" s="105"/>
      <c r="BJN14" s="103"/>
      <c r="BJO14" s="104"/>
      <c r="BJP14" s="104"/>
      <c r="BJQ14" s="104"/>
      <c r="BJR14" s="175" t="s">
        <v>33</v>
      </c>
      <c r="BJS14" s="175"/>
      <c r="BJT14" s="175"/>
      <c r="BJU14" s="175"/>
      <c r="BJV14" s="104"/>
      <c r="BJW14" s="104"/>
      <c r="BJX14" s="176" t="s">
        <v>23</v>
      </c>
      <c r="BJY14" s="176"/>
      <c r="BJZ14" s="176"/>
      <c r="BKA14" s="176"/>
      <c r="BKB14" s="129"/>
      <c r="BKC14" s="129"/>
      <c r="BKD14" s="175" t="s">
        <v>34</v>
      </c>
      <c r="BKE14" s="175"/>
      <c r="BKF14" s="175"/>
      <c r="BKG14" s="175"/>
      <c r="BKH14" s="104"/>
      <c r="BKI14" s="104"/>
      <c r="BKJ14" s="176" t="s">
        <v>24</v>
      </c>
      <c r="BKK14" s="176"/>
      <c r="BKL14" s="176"/>
      <c r="BKM14" s="176"/>
      <c r="BKN14" s="129"/>
      <c r="BKO14" s="129"/>
      <c r="BKP14" s="175" t="s">
        <v>35</v>
      </c>
      <c r="BKQ14" s="175"/>
      <c r="BKR14" s="175"/>
      <c r="BKS14" s="175"/>
      <c r="BKT14" s="104"/>
      <c r="BKU14" s="104"/>
      <c r="BKV14" s="176" t="s">
        <v>25</v>
      </c>
      <c r="BKW14" s="176"/>
      <c r="BKX14" s="176"/>
      <c r="BKY14" s="176"/>
      <c r="BKZ14" s="129"/>
      <c r="BLA14" s="129"/>
      <c r="BLB14" s="175" t="s">
        <v>36</v>
      </c>
      <c r="BLC14" s="175"/>
      <c r="BLD14" s="175"/>
      <c r="BLE14" s="175"/>
      <c r="BLF14" s="104"/>
      <c r="BLG14" s="104"/>
      <c r="BLH14" s="176" t="s">
        <v>26</v>
      </c>
      <c r="BLI14" s="176"/>
      <c r="BLJ14" s="176"/>
      <c r="BLK14" s="176"/>
      <c r="BLL14" s="129"/>
      <c r="BLM14" s="129"/>
      <c r="BLN14" s="175" t="s">
        <v>37</v>
      </c>
      <c r="BLO14" s="175"/>
      <c r="BLP14" s="175"/>
      <c r="BLQ14" s="175"/>
      <c r="BLR14" s="104"/>
      <c r="BLS14" s="104"/>
      <c r="BLT14" s="104"/>
      <c r="BLU14" s="105"/>
    </row>
    <row r="15" spans="1:1744" ht="20.100000000000001" customHeight="1" x14ac:dyDescent="0.25">
      <c r="A15" s="100" t="s">
        <v>19</v>
      </c>
      <c r="B15" s="63" t="str">
        <f>IF(LEN(C15)=0,"",C15)</f>
        <v xml:space="preserve">Absences - imprévus </v>
      </c>
      <c r="C15" s="179"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28"/>
      <c r="RS15" s="229"/>
      <c r="RT15" s="229"/>
      <c r="RU15" s="229"/>
      <c r="RV15" s="230"/>
      <c r="RW15" s="231"/>
      <c r="RX15" s="230"/>
      <c r="RY15" s="230"/>
      <c r="RZ15" s="230"/>
      <c r="SA15" s="230"/>
      <c r="SB15" s="230"/>
      <c r="SC15" s="232"/>
      <c r="SD15" s="230"/>
      <c r="SE15" s="230"/>
      <c r="SF15" s="230"/>
      <c r="SG15" s="230"/>
      <c r="SH15" s="230"/>
      <c r="SI15" s="233"/>
      <c r="SJ15" s="230"/>
      <c r="SK15" s="230"/>
      <c r="SL15" s="230"/>
      <c r="SM15" s="230"/>
      <c r="SN15" s="230"/>
      <c r="SO15" s="232"/>
      <c r="SP15" s="230"/>
      <c r="SQ15" s="230"/>
      <c r="SR15" s="230"/>
      <c r="SS15" s="230"/>
      <c r="ST15" s="230"/>
      <c r="SU15" s="233"/>
      <c r="SV15" s="229"/>
      <c r="SW15" s="229"/>
      <c r="SX15" s="229"/>
      <c r="SY15" s="229"/>
      <c r="SZ15" s="230"/>
      <c r="TA15" s="232"/>
      <c r="TB15" s="230"/>
      <c r="TC15" s="230"/>
      <c r="TD15" s="230"/>
      <c r="TE15" s="230"/>
      <c r="TF15" s="230"/>
      <c r="TG15" s="233"/>
      <c r="TH15" s="230"/>
      <c r="TI15" s="230"/>
      <c r="TJ15" s="230"/>
      <c r="TK15" s="230"/>
      <c r="TL15" s="230"/>
      <c r="TM15" s="232"/>
      <c r="TN15" s="25"/>
      <c r="TO15" s="25"/>
      <c r="TP15" s="25"/>
      <c r="TQ15" s="25"/>
      <c r="TR15" s="25"/>
      <c r="TS15" s="72"/>
      <c r="TT15" s="25"/>
      <c r="TU15" s="25"/>
      <c r="TV15" s="25"/>
      <c r="TW15" s="25"/>
      <c r="TX15" s="25"/>
      <c r="TY15" s="26"/>
      <c r="TZ15" s="228"/>
      <c r="UA15" s="229"/>
      <c r="UB15" s="229"/>
      <c r="UC15" s="229"/>
      <c r="UD15" s="230"/>
      <c r="UE15" s="231"/>
      <c r="UF15" s="230"/>
      <c r="UG15" s="230"/>
      <c r="UH15" s="230"/>
      <c r="UI15" s="230"/>
      <c r="UJ15" s="230"/>
      <c r="UK15" s="232"/>
      <c r="UL15" s="230"/>
      <c r="UM15" s="230"/>
      <c r="UN15" s="230"/>
      <c r="UO15" s="230"/>
      <c r="UP15" s="230"/>
      <c r="UQ15" s="233"/>
      <c r="UR15" s="230"/>
      <c r="US15" s="230"/>
      <c r="UT15" s="230"/>
      <c r="UU15" s="230"/>
      <c r="UV15" s="230"/>
      <c r="UW15" s="232"/>
      <c r="UX15" s="230"/>
      <c r="UY15" s="230"/>
      <c r="UZ15" s="230"/>
      <c r="VA15" s="230"/>
      <c r="VB15" s="230"/>
      <c r="VC15" s="233"/>
      <c r="VD15" s="229"/>
      <c r="VE15" s="229"/>
      <c r="VF15" s="229"/>
      <c r="VG15" s="229"/>
      <c r="VH15" s="230"/>
      <c r="VI15" s="232"/>
      <c r="VJ15" s="230"/>
      <c r="VK15" s="230"/>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36"/>
      <c r="BLW15" s="236"/>
      <c r="BLX15" s="236"/>
      <c r="BLY15" s="236"/>
      <c r="BLZ15" s="236"/>
      <c r="BMA15" s="236"/>
      <c r="BMB15" s="236"/>
      <c r="BMC15" s="236"/>
      <c r="BMD15" s="236"/>
      <c r="BME15" s="236"/>
      <c r="BMF15" s="236"/>
      <c r="BMG15" s="236"/>
      <c r="BMH15" s="236"/>
      <c r="BMI15" s="236"/>
      <c r="BMJ15" s="236"/>
      <c r="BMK15" s="236"/>
      <c r="BML15" s="236"/>
      <c r="BMM15" s="236"/>
      <c r="BMN15" s="236"/>
      <c r="BMO15" s="236"/>
      <c r="BMP15" s="236"/>
      <c r="BMQ15" s="236"/>
      <c r="BMR15" s="236"/>
      <c r="BMS15" s="236"/>
      <c r="BMT15" s="236"/>
      <c r="BMU15" s="236"/>
      <c r="BMV15" s="236"/>
      <c r="BMW15" s="236"/>
      <c r="BMX15" s="236"/>
      <c r="BMY15" s="236"/>
      <c r="BMZ15" s="236"/>
      <c r="BNA15" s="236"/>
      <c r="BNB15" s="236"/>
      <c r="BNC15" s="236"/>
      <c r="BND15" s="236"/>
      <c r="BNE15" s="236"/>
      <c r="BNF15" s="236"/>
      <c r="BNG15" s="236"/>
      <c r="BNH15" s="236"/>
      <c r="BNI15" s="236"/>
      <c r="BNJ15" s="236"/>
      <c r="BNK15" s="236"/>
      <c r="BNL15" s="236"/>
      <c r="BNM15" s="236"/>
      <c r="BNN15" s="236"/>
      <c r="BNO15" s="236"/>
      <c r="BNP15" s="236"/>
      <c r="BNQ15" s="236"/>
      <c r="BNR15" s="236"/>
      <c r="BNS15" s="236"/>
      <c r="BNT15" s="236"/>
      <c r="BNU15" s="236"/>
      <c r="BNV15" s="236"/>
      <c r="BNW15" s="236"/>
      <c r="BNX15" s="236"/>
      <c r="BNY15" s="236"/>
      <c r="BNZ15" s="236"/>
      <c r="BOA15" s="236"/>
      <c r="BOB15" s="236"/>
    </row>
    <row r="16" spans="1:1744" ht="20.100000000000001" customHeight="1" x14ac:dyDescent="0.25">
      <c r="A16" s="100" t="s">
        <v>20</v>
      </c>
      <c r="B16" s="63" t="str">
        <f>IF(LEN(C17)=0,"",C17)</f>
        <v>Réunion avec experts ou chef de projet</v>
      </c>
      <c r="C16" s="180"/>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36"/>
      <c r="BLW16" s="236"/>
      <c r="BLX16" s="236"/>
      <c r="BLY16" s="236"/>
      <c r="BLZ16" s="236"/>
      <c r="BMA16" s="236"/>
      <c r="BMB16" s="236"/>
      <c r="BMC16" s="236"/>
      <c r="BMD16" s="236"/>
      <c r="BME16" s="236"/>
      <c r="BMF16" s="236"/>
      <c r="BMG16" s="236"/>
      <c r="BMH16" s="236"/>
      <c r="BMI16" s="236"/>
      <c r="BMJ16" s="236"/>
      <c r="BMK16" s="236"/>
      <c r="BML16" s="236"/>
      <c r="BMM16" s="236"/>
      <c r="BMN16" s="236"/>
      <c r="BMO16" s="236"/>
      <c r="BMP16" s="236"/>
      <c r="BMQ16" s="236"/>
      <c r="BMR16" s="236"/>
      <c r="BMS16" s="236"/>
      <c r="BMT16" s="236"/>
      <c r="BMU16" s="236"/>
      <c r="BMV16" s="236"/>
      <c r="BMW16" s="236"/>
      <c r="BMX16" s="236"/>
      <c r="BMY16" s="236"/>
      <c r="BMZ16" s="236"/>
      <c r="BNA16" s="236"/>
      <c r="BNB16" s="236"/>
      <c r="BNC16" s="236"/>
      <c r="BND16" s="236"/>
      <c r="BNE16" s="236"/>
      <c r="BNF16" s="236"/>
      <c r="BNG16" s="236"/>
      <c r="BNH16" s="236"/>
      <c r="BNI16" s="236"/>
      <c r="BNJ16" s="236"/>
      <c r="BNK16" s="236"/>
      <c r="BNL16" s="236"/>
      <c r="BNM16" s="236"/>
      <c r="BNN16" s="236"/>
      <c r="BNO16" s="236"/>
      <c r="BNP16" s="236"/>
      <c r="BNQ16" s="236"/>
      <c r="BNR16" s="236"/>
      <c r="BNS16" s="236"/>
      <c r="BNT16" s="236"/>
      <c r="BNU16" s="236"/>
      <c r="BNV16" s="236"/>
      <c r="BNW16" s="236"/>
      <c r="BNX16" s="236"/>
      <c r="BNY16" s="236"/>
      <c r="BNZ16" s="236"/>
      <c r="BOA16" s="236"/>
      <c r="BOB16" s="236"/>
    </row>
    <row r="17" spans="1:1744" ht="20.100000000000001" customHeight="1" x14ac:dyDescent="0.25">
      <c r="A17" s="100" t="s">
        <v>19</v>
      </c>
      <c r="B17" s="63" t="str">
        <f>IF(LEN(C19)=0,"",C19)</f>
        <v>DOC - Journal de travail</v>
      </c>
      <c r="C17" s="179"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236"/>
      <c r="BLW17" s="236"/>
      <c r="BLX17" s="236"/>
      <c r="BLY17" s="236"/>
      <c r="BLZ17" s="236"/>
      <c r="BMA17" s="236"/>
      <c r="BMB17" s="236"/>
      <c r="BMC17" s="236"/>
      <c r="BMD17" s="236"/>
      <c r="BME17" s="236"/>
      <c r="BMF17" s="236"/>
      <c r="BMG17" s="236"/>
      <c r="BMH17" s="236"/>
      <c r="BMI17" s="236"/>
      <c r="BMJ17" s="236"/>
      <c r="BMK17" s="236"/>
      <c r="BML17" s="236"/>
      <c r="BMM17" s="236"/>
      <c r="BMN17" s="236"/>
      <c r="BMO17" s="236"/>
      <c r="BMP17" s="236"/>
      <c r="BMQ17" s="236"/>
      <c r="BMR17" s="236"/>
      <c r="BMS17" s="236"/>
      <c r="BMT17" s="236"/>
      <c r="BMU17" s="236"/>
      <c r="BMV17" s="236"/>
      <c r="BMW17" s="236"/>
      <c r="BMX17" s="236"/>
      <c r="BMY17" s="236"/>
      <c r="BMZ17" s="236"/>
      <c r="BNA17" s="236"/>
      <c r="BNB17" s="236"/>
      <c r="BNC17" s="236"/>
      <c r="BND17" s="236"/>
      <c r="BNE17" s="236"/>
      <c r="BNF17" s="236"/>
      <c r="BNG17" s="236"/>
      <c r="BNH17" s="236"/>
      <c r="BNI17" s="236"/>
      <c r="BNJ17" s="236"/>
      <c r="BNK17" s="236"/>
      <c r="BNL17" s="236"/>
      <c r="BNM17" s="236"/>
      <c r="BNN17" s="236"/>
      <c r="BNO17" s="236"/>
      <c r="BNP17" s="236"/>
      <c r="BNQ17" s="236"/>
      <c r="BNR17" s="236"/>
      <c r="BNS17" s="236"/>
      <c r="BNT17" s="236"/>
      <c r="BNU17" s="236"/>
      <c r="BNV17" s="236"/>
      <c r="BNW17" s="236"/>
      <c r="BNX17" s="236"/>
      <c r="BNY17" s="236"/>
      <c r="BNZ17" s="236"/>
      <c r="BOA17" s="236"/>
      <c r="BOB17" s="236"/>
    </row>
    <row r="18" spans="1:1744" ht="20.100000000000001" customHeight="1" x14ac:dyDescent="0.3">
      <c r="A18" s="100" t="s">
        <v>20</v>
      </c>
      <c r="B18" s="63" t="str">
        <f>IF(LEN(C21)=0,"",C21)</f>
        <v>DOC - Planification initiale</v>
      </c>
      <c r="C18" s="180"/>
      <c r="D18" s="148" t="str">
        <f t="shared" si="0"/>
        <v>0h45min</v>
      </c>
      <c r="E18" s="35">
        <v>9</v>
      </c>
      <c r="F18" s="237"/>
      <c r="G18" s="238"/>
      <c r="H18" s="238"/>
      <c r="I18" s="238"/>
      <c r="J18" s="239"/>
      <c r="K18" s="240"/>
      <c r="L18" s="239"/>
      <c r="M18" s="239"/>
      <c r="N18" s="239"/>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236"/>
      <c r="BLW18" s="236"/>
      <c r="BLX18" s="236"/>
      <c r="BLY18" s="236"/>
      <c r="BLZ18" s="236"/>
      <c r="BMA18" s="236"/>
      <c r="BMB18" s="236"/>
      <c r="BMC18" s="236"/>
      <c r="BMD18" s="236"/>
      <c r="BME18" s="236"/>
      <c r="BMF18" s="236"/>
      <c r="BMG18" s="236"/>
      <c r="BMH18" s="236"/>
      <c r="BMI18" s="236"/>
      <c r="BMJ18" s="236"/>
      <c r="BMK18" s="236"/>
      <c r="BML18" s="236"/>
      <c r="BMM18" s="236"/>
      <c r="BMN18" s="236"/>
      <c r="BMO18" s="236"/>
      <c r="BMP18" s="236"/>
      <c r="BMQ18" s="236"/>
      <c r="BMR18" s="236"/>
      <c r="BMS18" s="236"/>
      <c r="BMT18" s="236"/>
      <c r="BMU18" s="236"/>
      <c r="BMV18" s="236"/>
      <c r="BMW18" s="236"/>
      <c r="BMX18" s="236"/>
      <c r="BMY18" s="236"/>
      <c r="BMZ18" s="236"/>
      <c r="BNA18" s="236"/>
      <c r="BNB18" s="236"/>
      <c r="BNC18" s="236"/>
      <c r="BND18" s="236"/>
      <c r="BNE18" s="236"/>
      <c r="BNF18" s="236"/>
      <c r="BNG18" s="236"/>
      <c r="BNH18" s="236"/>
      <c r="BNI18" s="236"/>
      <c r="BNJ18" s="236"/>
      <c r="BNK18" s="236"/>
      <c r="BNL18" s="236"/>
      <c r="BNM18" s="236"/>
      <c r="BNN18" s="236"/>
      <c r="BNO18" s="236"/>
      <c r="BNP18" s="236"/>
      <c r="BNQ18" s="236"/>
      <c r="BNR18" s="236"/>
      <c r="BNS18" s="236"/>
      <c r="BNT18" s="236"/>
      <c r="BNU18" s="236"/>
      <c r="BNV18" s="236"/>
      <c r="BNW18" s="236"/>
      <c r="BNX18" s="236"/>
      <c r="BNY18" s="236"/>
      <c r="BNZ18" s="236"/>
      <c r="BOA18" s="236"/>
      <c r="BOB18" s="236"/>
    </row>
    <row r="19" spans="1:1744" ht="20.100000000000001" customHeight="1" x14ac:dyDescent="0.25">
      <c r="A19" s="100" t="s">
        <v>19</v>
      </c>
      <c r="B19" s="63" t="str">
        <f>IF(LEN(C23)=0,"",C23)</f>
        <v>DOC - Analyse technologies à utiliser</v>
      </c>
      <c r="C19" s="179"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218"/>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220"/>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218"/>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218"/>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218"/>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218"/>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220"/>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218"/>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218"/>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218"/>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218"/>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220"/>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218"/>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218"/>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220"/>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218"/>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220"/>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218"/>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218"/>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218"/>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220"/>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218"/>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220"/>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218"/>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236"/>
      <c r="BLW19" s="236"/>
      <c r="BLX19" s="236"/>
      <c r="BLY19" s="236"/>
      <c r="BLZ19" s="236"/>
      <c r="BMA19" s="236"/>
      <c r="BMB19" s="236"/>
      <c r="BMC19" s="236"/>
      <c r="BMD19" s="236"/>
      <c r="BME19" s="236"/>
      <c r="BMF19" s="236"/>
      <c r="BMG19" s="236"/>
      <c r="BMH19" s="236"/>
      <c r="BMI19" s="236"/>
      <c r="BMJ19" s="236"/>
      <c r="BMK19" s="236"/>
      <c r="BML19" s="236"/>
      <c r="BMM19" s="236"/>
      <c r="BMN19" s="236"/>
      <c r="BMO19" s="236"/>
      <c r="BMP19" s="236"/>
      <c r="BMQ19" s="236"/>
      <c r="BMR19" s="236"/>
      <c r="BMS19" s="236"/>
      <c r="BMT19" s="236"/>
      <c r="BMU19" s="236"/>
      <c r="BMV19" s="236"/>
      <c r="BMW19" s="236"/>
      <c r="BMX19" s="236"/>
      <c r="BMY19" s="236"/>
      <c r="BMZ19" s="236"/>
      <c r="BNA19" s="236"/>
      <c r="BNB19" s="236"/>
      <c r="BNC19" s="236"/>
      <c r="BND19" s="236"/>
      <c r="BNE19" s="236"/>
      <c r="BNF19" s="236"/>
      <c r="BNG19" s="236"/>
      <c r="BNH19" s="236"/>
      <c r="BNI19" s="236"/>
      <c r="BNJ19" s="236"/>
      <c r="BNK19" s="236"/>
      <c r="BNL19" s="236"/>
      <c r="BNM19" s="236"/>
      <c r="BNN19" s="236"/>
      <c r="BNO19" s="236"/>
      <c r="BNP19" s="236"/>
      <c r="BNQ19" s="236"/>
      <c r="BNR19" s="236"/>
      <c r="BNS19" s="236"/>
      <c r="BNT19" s="236"/>
      <c r="BNU19" s="236"/>
      <c r="BNV19" s="236"/>
      <c r="BNW19" s="236"/>
      <c r="BNX19" s="236"/>
      <c r="BNY19" s="236"/>
      <c r="BNZ19" s="236"/>
      <c r="BOA19" s="236"/>
      <c r="BOB19" s="236"/>
    </row>
    <row r="20" spans="1:1744" ht="20.100000000000001" customHeight="1" x14ac:dyDescent="0.25">
      <c r="A20" s="100" t="s">
        <v>20</v>
      </c>
      <c r="B20" s="63" t="str">
        <f>IF(LEN(C25)=0,"",C25)</f>
        <v>DOC - Analyse méthode de simulation</v>
      </c>
      <c r="C20" s="181"/>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36"/>
      <c r="BLW20" s="236"/>
      <c r="BLX20" s="236"/>
      <c r="BLY20" s="236"/>
      <c r="BLZ20" s="236"/>
      <c r="BMA20" s="236"/>
      <c r="BMB20" s="236"/>
      <c r="BMC20" s="236"/>
      <c r="BMD20" s="236"/>
      <c r="BME20" s="236"/>
      <c r="BMF20" s="236"/>
      <c r="BMG20" s="236"/>
      <c r="BMH20" s="236"/>
      <c r="BMI20" s="236"/>
      <c r="BMJ20" s="236"/>
      <c r="BMK20" s="236"/>
      <c r="BML20" s="236"/>
      <c r="BMM20" s="236"/>
      <c r="BMN20" s="236"/>
      <c r="BMO20" s="236"/>
      <c r="BMP20" s="236"/>
      <c r="BMQ20" s="236"/>
      <c r="BMR20" s="236"/>
      <c r="BMS20" s="236"/>
      <c r="BMT20" s="236"/>
      <c r="BMU20" s="236"/>
      <c r="BMV20" s="236"/>
      <c r="BMW20" s="236"/>
      <c r="BMX20" s="236"/>
      <c r="BMY20" s="236"/>
      <c r="BMZ20" s="236"/>
      <c r="BNA20" s="236"/>
      <c r="BNB20" s="236"/>
      <c r="BNC20" s="236"/>
      <c r="BND20" s="236"/>
      <c r="BNE20" s="236"/>
      <c r="BNF20" s="236"/>
      <c r="BNG20" s="236"/>
      <c r="BNH20" s="236"/>
      <c r="BNI20" s="236"/>
      <c r="BNJ20" s="236"/>
      <c r="BNK20" s="236"/>
      <c r="BNL20" s="236"/>
      <c r="BNM20" s="236"/>
      <c r="BNN20" s="236"/>
      <c r="BNO20" s="236"/>
      <c r="BNP20" s="236"/>
      <c r="BNQ20" s="236"/>
      <c r="BNR20" s="236"/>
      <c r="BNS20" s="236"/>
      <c r="BNT20" s="236"/>
      <c r="BNU20" s="236"/>
      <c r="BNV20" s="236"/>
      <c r="BNW20" s="236"/>
      <c r="BNX20" s="236"/>
      <c r="BNY20" s="236"/>
      <c r="BNZ20" s="236"/>
      <c r="BOA20" s="236"/>
      <c r="BOB20" s="236"/>
    </row>
    <row r="21" spans="1:1744" ht="20.100000000000001" customHeight="1" x14ac:dyDescent="0.25">
      <c r="A21" s="100" t="s">
        <v>19</v>
      </c>
      <c r="B21" s="63" t="str">
        <f>IF(LEN(C27)=0,"",C27)</f>
        <v>DOC - Analyse gestion des collisions</v>
      </c>
      <c r="C21" s="179" t="s">
        <v>97</v>
      </c>
      <c r="D21" s="146" t="str">
        <f t="shared" si="0"/>
        <v>7h</v>
      </c>
      <c r="E21" s="31">
        <v>84</v>
      </c>
      <c r="F21" s="222"/>
      <c r="G21" s="223"/>
      <c r="H21" s="223"/>
      <c r="I21" s="223"/>
      <c r="J21" s="224"/>
      <c r="K21" s="225"/>
      <c r="L21" s="224"/>
      <c r="M21" s="224"/>
      <c r="N21" s="224"/>
      <c r="O21" s="224"/>
      <c r="P21" s="224"/>
      <c r="Q21" s="226"/>
      <c r="R21" s="224"/>
      <c r="S21" s="224"/>
      <c r="T21" s="224"/>
      <c r="U21" s="224"/>
      <c r="V21" s="224"/>
      <c r="W21" s="227"/>
      <c r="X21" s="224"/>
      <c r="Y21" s="224"/>
      <c r="Z21" s="224"/>
      <c r="AA21" s="224"/>
      <c r="AB21" s="224"/>
      <c r="AC21" s="226"/>
      <c r="AD21" s="224"/>
      <c r="AE21" s="224"/>
      <c r="AF21" s="224"/>
      <c r="AG21" s="224"/>
      <c r="AH21" s="224"/>
      <c r="AI21" s="227"/>
      <c r="AJ21" s="223"/>
      <c r="AK21" s="223"/>
      <c r="AL21" s="223"/>
      <c r="AM21" s="223"/>
      <c r="AN21" s="224"/>
      <c r="AO21" s="226"/>
      <c r="AP21" s="224"/>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222"/>
      <c r="BO21" s="223"/>
      <c r="BP21" s="223"/>
      <c r="BQ21" s="223"/>
      <c r="BR21" s="224"/>
      <c r="BS21" s="225"/>
      <c r="BT21" s="224"/>
      <c r="BU21" s="224"/>
      <c r="BV21" s="224"/>
      <c r="BW21" s="224"/>
      <c r="BX21" s="224"/>
      <c r="BY21" s="226"/>
      <c r="BZ21" s="224"/>
      <c r="CA21" s="224"/>
      <c r="CB21" s="224"/>
      <c r="CC21" s="224"/>
      <c r="CD21" s="224"/>
      <c r="CE21" s="227"/>
      <c r="CF21" s="224"/>
      <c r="CG21" s="224"/>
      <c r="CH21" s="224"/>
      <c r="CI21" s="224"/>
      <c r="CJ21" s="224"/>
      <c r="CK21" s="226"/>
      <c r="CL21" s="224"/>
      <c r="CM21" s="224"/>
      <c r="CN21" s="224"/>
      <c r="CO21" s="224"/>
      <c r="CP21" s="224"/>
      <c r="CQ21" s="227"/>
      <c r="CR21" s="223"/>
      <c r="CS21" s="223"/>
      <c r="CT21" s="223"/>
      <c r="CU21" s="223"/>
      <c r="CV21" s="224"/>
      <c r="CW21" s="226"/>
      <c r="CX21" s="224"/>
      <c r="CY21" s="224"/>
      <c r="CZ21" s="224"/>
      <c r="DA21" s="224"/>
      <c r="DB21" s="224"/>
      <c r="DC21" s="227"/>
      <c r="DD21" s="224"/>
      <c r="DE21" s="224"/>
      <c r="DF21" s="224"/>
      <c r="DG21" s="224"/>
      <c r="DH21" s="224"/>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236"/>
      <c r="BLW21" s="236"/>
      <c r="BLX21" s="236"/>
      <c r="BLY21" s="236"/>
      <c r="BLZ21" s="236"/>
      <c r="BMA21" s="236"/>
      <c r="BMB21" s="236"/>
      <c r="BMC21" s="236"/>
      <c r="BMD21" s="236"/>
      <c r="BME21" s="236"/>
      <c r="BMF21" s="236"/>
      <c r="BMG21" s="236"/>
      <c r="BMH21" s="236"/>
      <c r="BMI21" s="236"/>
      <c r="BMJ21" s="236"/>
      <c r="BMK21" s="236"/>
      <c r="BML21" s="236"/>
      <c r="BMM21" s="236"/>
      <c r="BMN21" s="236"/>
      <c r="BMO21" s="236"/>
      <c r="BMP21" s="236"/>
      <c r="BMQ21" s="236"/>
      <c r="BMR21" s="236"/>
      <c r="BMS21" s="236"/>
      <c r="BMT21" s="236"/>
      <c r="BMU21" s="236"/>
      <c r="BMV21" s="236"/>
      <c r="BMW21" s="236"/>
      <c r="BMX21" s="236"/>
      <c r="BMY21" s="236"/>
      <c r="BMZ21" s="236"/>
      <c r="BNA21" s="236"/>
      <c r="BNB21" s="236"/>
      <c r="BNC21" s="236"/>
      <c r="BND21" s="236"/>
      <c r="BNE21" s="236"/>
      <c r="BNF21" s="236"/>
      <c r="BNG21" s="236"/>
      <c r="BNH21" s="236"/>
      <c r="BNI21" s="236"/>
      <c r="BNJ21" s="236"/>
      <c r="BNK21" s="236"/>
      <c r="BNL21" s="236"/>
      <c r="BNM21" s="236"/>
      <c r="BNN21" s="236"/>
      <c r="BNO21" s="236"/>
      <c r="BNP21" s="236"/>
      <c r="BNQ21" s="236"/>
      <c r="BNR21" s="236"/>
      <c r="BNS21" s="236"/>
      <c r="BNT21" s="236"/>
      <c r="BNU21" s="236"/>
      <c r="BNV21" s="236"/>
      <c r="BNW21" s="236"/>
      <c r="BNX21" s="236"/>
      <c r="BNY21" s="236"/>
      <c r="BNZ21" s="236"/>
      <c r="BOA21" s="236"/>
      <c r="BOB21" s="236"/>
    </row>
    <row r="22" spans="1:1744" ht="20.100000000000001" customHeight="1" x14ac:dyDescent="0.25">
      <c r="A22" s="100" t="s">
        <v>20</v>
      </c>
      <c r="B22" s="63" t="str">
        <f>IF(LEN(C29)=0,"",C29)</f>
        <v>DOC - Analyse et choix méthodologie de projet</v>
      </c>
      <c r="C22" s="181"/>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236"/>
      <c r="BLW22" s="236"/>
      <c r="BLX22" s="236"/>
      <c r="BLY22" s="236"/>
      <c r="BLZ22" s="236"/>
      <c r="BMA22" s="236"/>
      <c r="BMB22" s="236"/>
      <c r="BMC22" s="236"/>
      <c r="BMD22" s="236"/>
      <c r="BME22" s="236"/>
      <c r="BMF22" s="236"/>
      <c r="BMG22" s="236"/>
      <c r="BMH22" s="236"/>
      <c r="BMI22" s="236"/>
      <c r="BMJ22" s="236"/>
      <c r="BMK22" s="236"/>
      <c r="BML22" s="236"/>
      <c r="BMM22" s="236"/>
      <c r="BMN22" s="236"/>
      <c r="BMO22" s="236"/>
      <c r="BMP22" s="236"/>
      <c r="BMQ22" s="236"/>
      <c r="BMR22" s="236"/>
      <c r="BMS22" s="236"/>
      <c r="BMT22" s="236"/>
      <c r="BMU22" s="236"/>
      <c r="BMV22" s="236"/>
      <c r="BMW22" s="236"/>
      <c r="BMX22" s="236"/>
      <c r="BMY22" s="236"/>
      <c r="BMZ22" s="236"/>
      <c r="BNA22" s="236"/>
      <c r="BNB22" s="236"/>
      <c r="BNC22" s="236"/>
      <c r="BND22" s="236"/>
      <c r="BNE22" s="236"/>
      <c r="BNF22" s="236"/>
      <c r="BNG22" s="236"/>
      <c r="BNH22" s="236"/>
      <c r="BNI22" s="236"/>
      <c r="BNJ22" s="236"/>
      <c r="BNK22" s="236"/>
      <c r="BNL22" s="236"/>
      <c r="BNM22" s="236"/>
      <c r="BNN22" s="236"/>
      <c r="BNO22" s="236"/>
      <c r="BNP22" s="236"/>
      <c r="BNQ22" s="236"/>
      <c r="BNR22" s="236"/>
      <c r="BNS22" s="236"/>
      <c r="BNT22" s="236"/>
      <c r="BNU22" s="236"/>
      <c r="BNV22" s="236"/>
      <c r="BNW22" s="236"/>
      <c r="BNX22" s="236"/>
      <c r="BNY22" s="236"/>
      <c r="BNZ22" s="236"/>
      <c r="BOA22" s="236"/>
      <c r="BOB22" s="236"/>
    </row>
    <row r="23" spans="1:1744" ht="20.100000000000001" customHeight="1" x14ac:dyDescent="0.25">
      <c r="A23" s="100" t="s">
        <v>19</v>
      </c>
      <c r="B23" s="63" t="str">
        <f>IF(LEN(C31)=0,"",C31)</f>
        <v>DOC - Analyse et conception des maquettes</v>
      </c>
      <c r="C23" s="179"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236"/>
      <c r="BLW23" s="236"/>
      <c r="BLX23" s="236"/>
      <c r="BLY23" s="236"/>
      <c r="BLZ23" s="236"/>
      <c r="BMA23" s="236"/>
      <c r="BMB23" s="236"/>
      <c r="BMC23" s="236"/>
      <c r="BMD23" s="236"/>
      <c r="BME23" s="236"/>
      <c r="BMF23" s="236"/>
      <c r="BMG23" s="236"/>
      <c r="BMH23" s="236"/>
      <c r="BMI23" s="236"/>
      <c r="BMJ23" s="236"/>
      <c r="BMK23" s="236"/>
      <c r="BML23" s="236"/>
      <c r="BMM23" s="236"/>
      <c r="BMN23" s="236"/>
      <c r="BMO23" s="236"/>
      <c r="BMP23" s="236"/>
      <c r="BMQ23" s="236"/>
      <c r="BMR23" s="236"/>
      <c r="BMS23" s="236"/>
      <c r="BMT23" s="236"/>
      <c r="BMU23" s="236"/>
      <c r="BMV23" s="236"/>
      <c r="BMW23" s="236"/>
      <c r="BMX23" s="236"/>
      <c r="BMY23" s="236"/>
      <c r="BMZ23" s="236"/>
      <c r="BNA23" s="236"/>
      <c r="BNB23" s="236"/>
      <c r="BNC23" s="236"/>
      <c r="BND23" s="236"/>
      <c r="BNE23" s="236"/>
      <c r="BNF23" s="236"/>
      <c r="BNG23" s="236"/>
      <c r="BNH23" s="236"/>
      <c r="BNI23" s="236"/>
      <c r="BNJ23" s="236"/>
      <c r="BNK23" s="236"/>
      <c r="BNL23" s="236"/>
      <c r="BNM23" s="236"/>
      <c r="BNN23" s="236"/>
      <c r="BNO23" s="236"/>
      <c r="BNP23" s="236"/>
      <c r="BNQ23" s="236"/>
      <c r="BNR23" s="236"/>
      <c r="BNS23" s="236"/>
      <c r="BNT23" s="236"/>
      <c r="BNU23" s="236"/>
      <c r="BNV23" s="236"/>
      <c r="BNW23" s="236"/>
      <c r="BNX23" s="236"/>
      <c r="BNY23" s="236"/>
      <c r="BNZ23" s="236"/>
      <c r="BOA23" s="236"/>
      <c r="BOB23" s="236"/>
    </row>
    <row r="24" spans="1:1744" ht="20.100000000000001" customHeight="1" x14ac:dyDescent="0.25">
      <c r="A24" s="100" t="s">
        <v>20</v>
      </c>
      <c r="B24" s="63" t="str">
        <f>IF(LEN(C33)=0,"",C33)</f>
        <v>DOC - Réalisation</v>
      </c>
      <c r="C24" s="181"/>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36"/>
      <c r="BLW24" s="236"/>
      <c r="BLX24" s="236"/>
      <c r="BLY24" s="236"/>
      <c r="BLZ24" s="236"/>
      <c r="BMA24" s="236"/>
      <c r="BMB24" s="236"/>
      <c r="BMC24" s="236"/>
      <c r="BMD24" s="236"/>
      <c r="BME24" s="236"/>
      <c r="BMF24" s="236"/>
      <c r="BMG24" s="236"/>
      <c r="BMH24" s="236"/>
      <c r="BMI24" s="236"/>
      <c r="BMJ24" s="236"/>
      <c r="BMK24" s="236"/>
      <c r="BML24" s="236"/>
      <c r="BMM24" s="236"/>
      <c r="BMN24" s="236"/>
      <c r="BMO24" s="236"/>
      <c r="BMP24" s="236"/>
      <c r="BMQ24" s="236"/>
      <c r="BMR24" s="236"/>
      <c r="BMS24" s="236"/>
      <c r="BMT24" s="236"/>
      <c r="BMU24" s="236"/>
      <c r="BMV24" s="236"/>
      <c r="BMW24" s="236"/>
      <c r="BMX24" s="236"/>
      <c r="BMY24" s="236"/>
      <c r="BMZ24" s="236"/>
      <c r="BNA24" s="236"/>
      <c r="BNB24" s="236"/>
      <c r="BNC24" s="236"/>
      <c r="BND24" s="236"/>
      <c r="BNE24" s="236"/>
      <c r="BNF24" s="236"/>
      <c r="BNG24" s="236"/>
      <c r="BNH24" s="236"/>
      <c r="BNI24" s="236"/>
      <c r="BNJ24" s="236"/>
      <c r="BNK24" s="236"/>
      <c r="BNL24" s="236"/>
      <c r="BNM24" s="236"/>
      <c r="BNN24" s="236"/>
      <c r="BNO24" s="236"/>
      <c r="BNP24" s="236"/>
      <c r="BNQ24" s="236"/>
      <c r="BNR24" s="236"/>
      <c r="BNS24" s="236"/>
      <c r="BNT24" s="236"/>
      <c r="BNU24" s="236"/>
      <c r="BNV24" s="236"/>
      <c r="BNW24" s="236"/>
      <c r="BNX24" s="236"/>
      <c r="BNY24" s="236"/>
      <c r="BNZ24" s="236"/>
      <c r="BOA24" s="236"/>
      <c r="BOB24" s="236"/>
    </row>
    <row r="25" spans="1:1744" ht="20.100000000000001" customHeight="1" x14ac:dyDescent="0.25">
      <c r="A25" s="100" t="s">
        <v>19</v>
      </c>
      <c r="B25" s="63" t="str">
        <f>IF(LEN(C35)=0,"",C35)</f>
        <v>DOC - Analyse calcul collisions élastiques avec masse</v>
      </c>
      <c r="C25" s="179"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224"/>
      <c r="EG25" s="226"/>
      <c r="EH25" s="224"/>
      <c r="EI25" s="224"/>
      <c r="EJ25" s="224"/>
      <c r="EK25" s="224"/>
      <c r="EL25" s="224"/>
      <c r="EM25" s="227"/>
      <c r="EN25" s="224"/>
      <c r="EO25" s="224"/>
      <c r="EP25" s="224"/>
      <c r="EQ25" s="224"/>
      <c r="ER25" s="224"/>
      <c r="ES25" s="226"/>
      <c r="ET25" s="224"/>
      <c r="EU25" s="224"/>
      <c r="EV25" s="224"/>
      <c r="EW25" s="224"/>
      <c r="EX25" s="224"/>
      <c r="EY25" s="227"/>
      <c r="EZ25" s="223"/>
      <c r="FA25" s="223"/>
      <c r="FB25" s="223"/>
      <c r="FC25" s="223"/>
      <c r="FD25" s="224"/>
      <c r="FE25" s="226"/>
      <c r="FF25" s="224"/>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236"/>
      <c r="BLW25" s="236"/>
      <c r="BLX25" s="236"/>
      <c r="BLY25" s="236"/>
      <c r="BLZ25" s="236"/>
      <c r="BMA25" s="236"/>
      <c r="BMB25" s="236"/>
      <c r="BMC25" s="236"/>
      <c r="BMD25" s="236"/>
      <c r="BME25" s="236"/>
      <c r="BMF25" s="236"/>
      <c r="BMG25" s="236"/>
      <c r="BMH25" s="236"/>
      <c r="BMI25" s="236"/>
      <c r="BMJ25" s="236"/>
      <c r="BMK25" s="236"/>
      <c r="BML25" s="236"/>
      <c r="BMM25" s="236"/>
      <c r="BMN25" s="236"/>
      <c r="BMO25" s="236"/>
      <c r="BMP25" s="236"/>
      <c r="BMQ25" s="236"/>
      <c r="BMR25" s="236"/>
      <c r="BMS25" s="236"/>
      <c r="BMT25" s="236"/>
      <c r="BMU25" s="236"/>
      <c r="BMV25" s="236"/>
      <c r="BMW25" s="236"/>
      <c r="BMX25" s="236"/>
      <c r="BMY25" s="236"/>
      <c r="BMZ25" s="236"/>
      <c r="BNA25" s="236"/>
      <c r="BNB25" s="236"/>
      <c r="BNC25" s="236"/>
      <c r="BND25" s="236"/>
      <c r="BNE25" s="236"/>
      <c r="BNF25" s="236"/>
      <c r="BNG25" s="236"/>
      <c r="BNH25" s="236"/>
      <c r="BNI25" s="236"/>
      <c r="BNJ25" s="236"/>
      <c r="BNK25" s="236"/>
      <c r="BNL25" s="236"/>
      <c r="BNM25" s="236"/>
      <c r="BNN25" s="236"/>
      <c r="BNO25" s="236"/>
      <c r="BNP25" s="236"/>
      <c r="BNQ25" s="236"/>
      <c r="BNR25" s="236"/>
      <c r="BNS25" s="236"/>
      <c r="BNT25" s="236"/>
      <c r="BNU25" s="236"/>
      <c r="BNV25" s="236"/>
      <c r="BNW25" s="236"/>
      <c r="BNX25" s="236"/>
      <c r="BNY25" s="236"/>
      <c r="BNZ25" s="236"/>
      <c r="BOA25" s="236"/>
      <c r="BOB25" s="236"/>
    </row>
    <row r="26" spans="1:1744" ht="20.100000000000001" customHeight="1" x14ac:dyDescent="0.3">
      <c r="A26" s="100" t="s">
        <v>20</v>
      </c>
      <c r="B26" s="63" t="str">
        <f>IF(LEN(C37)=0,"",C37)</f>
        <v>DOC - Analyse calcul trajectoire balistique avec vent</v>
      </c>
      <c r="C26" s="18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236"/>
      <c r="BLW26" s="236"/>
      <c r="BLX26" s="236"/>
      <c r="BLY26" s="236"/>
      <c r="BLZ26" s="236"/>
      <c r="BMA26" s="236"/>
      <c r="BMB26" s="236"/>
      <c r="BMC26" s="236"/>
      <c r="BMD26" s="236"/>
      <c r="BME26" s="236"/>
      <c r="BMF26" s="236"/>
      <c r="BMG26" s="236"/>
      <c r="BMH26" s="236"/>
      <c r="BMI26" s="236"/>
      <c r="BMJ26" s="236"/>
      <c r="BMK26" s="236"/>
      <c r="BML26" s="236"/>
      <c r="BMM26" s="236"/>
      <c r="BMN26" s="236"/>
      <c r="BMO26" s="236"/>
      <c r="BMP26" s="236"/>
      <c r="BMQ26" s="236"/>
      <c r="BMR26" s="236"/>
      <c r="BMS26" s="236"/>
      <c r="BMT26" s="236"/>
      <c r="BMU26" s="236"/>
      <c r="BMV26" s="236"/>
      <c r="BMW26" s="236"/>
      <c r="BMX26" s="236"/>
      <c r="BMY26" s="236"/>
      <c r="BMZ26" s="236"/>
      <c r="BNA26" s="236"/>
      <c r="BNB26" s="236"/>
      <c r="BNC26" s="236"/>
      <c r="BND26" s="236"/>
      <c r="BNE26" s="236"/>
      <c r="BNF26" s="236"/>
      <c r="BNG26" s="236"/>
      <c r="BNH26" s="236"/>
      <c r="BNI26" s="236"/>
      <c r="BNJ26" s="236"/>
      <c r="BNK26" s="236"/>
      <c r="BNL26" s="236"/>
      <c r="BNM26" s="236"/>
      <c r="BNN26" s="236"/>
      <c r="BNO26" s="236"/>
      <c r="BNP26" s="236"/>
      <c r="BNQ26" s="236"/>
      <c r="BNR26" s="236"/>
      <c r="BNS26" s="236"/>
      <c r="BNT26" s="236"/>
      <c r="BNU26" s="236"/>
      <c r="BNV26" s="236"/>
      <c r="BNW26" s="236"/>
      <c r="BNX26" s="236"/>
      <c r="BNY26" s="236"/>
      <c r="BNZ26" s="236"/>
      <c r="BOA26" s="236"/>
      <c r="BOB26" s="236"/>
    </row>
    <row r="27" spans="1:1744" ht="20.100000000000001" customHeight="1" x14ac:dyDescent="0.25">
      <c r="A27" s="100" t="s">
        <v>19</v>
      </c>
      <c r="B27" s="63" t="str">
        <f>IF(LEN(C39)=0,"",C39)</f>
        <v>DOC - Expliquer mise en place de l'environnement et prérequis</v>
      </c>
      <c r="C27" s="179"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216"/>
      <c r="IM27" s="217"/>
      <c r="IN27" s="217"/>
      <c r="IO27" s="217"/>
      <c r="IP27" s="218"/>
      <c r="IQ27" s="219"/>
      <c r="IR27" s="218"/>
      <c r="IS27" s="218"/>
      <c r="IT27" s="218"/>
      <c r="IU27" s="218"/>
      <c r="IV27" s="218"/>
      <c r="IW27" s="220"/>
      <c r="IX27" s="218"/>
      <c r="IY27" s="218"/>
      <c r="IZ27" s="218"/>
      <c r="JA27" s="218"/>
      <c r="JB27" s="218"/>
      <c r="JC27" s="221"/>
      <c r="JD27" s="218"/>
      <c r="JE27" s="218"/>
      <c r="JF27" s="218"/>
      <c r="JG27" s="218"/>
      <c r="JH27" s="218"/>
      <c r="JI27" s="220"/>
      <c r="JJ27" s="218"/>
      <c r="JK27" s="218"/>
      <c r="JL27" s="218"/>
      <c r="JM27" s="218"/>
      <c r="JN27" s="218"/>
      <c r="JO27" s="221"/>
      <c r="JP27" s="217"/>
      <c r="JQ27" s="217"/>
      <c r="JR27" s="217"/>
      <c r="JS27" s="217"/>
      <c r="JT27" s="218"/>
      <c r="JU27" s="220"/>
      <c r="JV27" s="218"/>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216"/>
      <c r="KU27" s="217"/>
      <c r="KV27" s="217"/>
      <c r="KW27" s="217"/>
      <c r="KX27" s="218"/>
      <c r="KY27" s="219"/>
      <c r="KZ27" s="218"/>
      <c r="LA27" s="218"/>
      <c r="LB27" s="218"/>
      <c r="LC27" s="218"/>
      <c r="LD27" s="218"/>
      <c r="LE27" s="220"/>
      <c r="LF27" s="218"/>
      <c r="LG27" s="218"/>
      <c r="LH27" s="218"/>
      <c r="LI27" s="218"/>
      <c r="LJ27" s="218"/>
      <c r="LK27" s="221"/>
      <c r="LL27" s="218"/>
      <c r="LM27" s="218"/>
      <c r="LN27" s="218"/>
      <c r="LO27" s="218"/>
      <c r="LP27" s="218"/>
      <c r="LQ27" s="220"/>
      <c r="LR27" s="218"/>
      <c r="LS27" s="218"/>
      <c r="LT27" s="218"/>
      <c r="LU27" s="218"/>
      <c r="LV27" s="218"/>
      <c r="LW27" s="221"/>
      <c r="LX27" s="217"/>
      <c r="LY27" s="217"/>
      <c r="LZ27" s="217"/>
      <c r="MA27" s="217"/>
      <c r="MB27" s="218"/>
      <c r="MC27" s="220"/>
      <c r="MD27" s="218"/>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236"/>
      <c r="BLW27" s="236"/>
      <c r="BLX27" s="236"/>
      <c r="BLY27" s="236"/>
      <c r="BLZ27" s="236"/>
      <c r="BMA27" s="236"/>
      <c r="BMB27" s="236"/>
      <c r="BMC27" s="236"/>
      <c r="BMD27" s="236"/>
      <c r="BME27" s="236"/>
      <c r="BMF27" s="236"/>
      <c r="BMG27" s="236"/>
      <c r="BMH27" s="236"/>
      <c r="BMI27" s="236"/>
      <c r="BMJ27" s="236"/>
      <c r="BMK27" s="236"/>
      <c r="BML27" s="236"/>
      <c r="BMM27" s="236"/>
      <c r="BMN27" s="236"/>
      <c r="BMO27" s="236"/>
      <c r="BMP27" s="236"/>
      <c r="BMQ27" s="236"/>
      <c r="BMR27" s="236"/>
      <c r="BMS27" s="236"/>
      <c r="BMT27" s="236"/>
      <c r="BMU27" s="236"/>
      <c r="BMV27" s="236"/>
      <c r="BMW27" s="236"/>
      <c r="BMX27" s="236"/>
      <c r="BMY27" s="236"/>
      <c r="BMZ27" s="236"/>
      <c r="BNA27" s="236"/>
      <c r="BNB27" s="236"/>
      <c r="BNC27" s="236"/>
      <c r="BND27" s="236"/>
      <c r="BNE27" s="236"/>
      <c r="BNF27" s="236"/>
      <c r="BNG27" s="236"/>
      <c r="BNH27" s="236"/>
      <c r="BNI27" s="236"/>
      <c r="BNJ27" s="236"/>
      <c r="BNK27" s="236"/>
      <c r="BNL27" s="236"/>
      <c r="BNM27" s="236"/>
      <c r="BNN27" s="236"/>
      <c r="BNO27" s="236"/>
      <c r="BNP27" s="236"/>
      <c r="BNQ27" s="236"/>
      <c r="BNR27" s="236"/>
      <c r="BNS27" s="236"/>
      <c r="BNT27" s="236"/>
      <c r="BNU27" s="236"/>
      <c r="BNV27" s="236"/>
      <c r="BNW27" s="236"/>
      <c r="BNX27" s="236"/>
      <c r="BNY27" s="236"/>
      <c r="BNZ27" s="236"/>
      <c r="BOA27" s="236"/>
      <c r="BOB27" s="236"/>
    </row>
    <row r="28" spans="1:1744" ht="20.100000000000001" customHeight="1" x14ac:dyDescent="0.3">
      <c r="A28" s="100" t="s">
        <v>20</v>
      </c>
      <c r="B28" s="63" t="str">
        <f>IF(LEN(C41)=0,"",C41)</f>
        <v>DOC - Conception des tests</v>
      </c>
      <c r="C28" s="18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36"/>
      <c r="BLW28" s="236"/>
      <c r="BLX28" s="236"/>
      <c r="BLY28" s="236"/>
      <c r="BLZ28" s="236"/>
      <c r="BMA28" s="236"/>
      <c r="BMB28" s="236"/>
      <c r="BMC28" s="236"/>
      <c r="BMD28" s="236"/>
      <c r="BME28" s="236"/>
      <c r="BMF28" s="236"/>
      <c r="BMG28" s="236"/>
      <c r="BMH28" s="236"/>
      <c r="BMI28" s="236"/>
      <c r="BMJ28" s="236"/>
      <c r="BMK28" s="236"/>
      <c r="BML28" s="236"/>
      <c r="BMM28" s="236"/>
      <c r="BMN28" s="236"/>
      <c r="BMO28" s="236"/>
      <c r="BMP28" s="236"/>
      <c r="BMQ28" s="236"/>
      <c r="BMR28" s="236"/>
      <c r="BMS28" s="236"/>
      <c r="BMT28" s="236"/>
      <c r="BMU28" s="236"/>
      <c r="BMV28" s="236"/>
      <c r="BMW28" s="236"/>
      <c r="BMX28" s="236"/>
      <c r="BMY28" s="236"/>
      <c r="BMZ28" s="236"/>
      <c r="BNA28" s="236"/>
      <c r="BNB28" s="236"/>
      <c r="BNC28" s="236"/>
      <c r="BND28" s="236"/>
      <c r="BNE28" s="236"/>
      <c r="BNF28" s="236"/>
      <c r="BNG28" s="236"/>
      <c r="BNH28" s="236"/>
      <c r="BNI28" s="236"/>
      <c r="BNJ28" s="236"/>
      <c r="BNK28" s="236"/>
      <c r="BNL28" s="236"/>
      <c r="BNM28" s="236"/>
      <c r="BNN28" s="236"/>
      <c r="BNO28" s="236"/>
      <c r="BNP28" s="236"/>
      <c r="BNQ28" s="236"/>
      <c r="BNR28" s="236"/>
      <c r="BNS28" s="236"/>
      <c r="BNT28" s="236"/>
      <c r="BNU28" s="236"/>
      <c r="BNV28" s="236"/>
      <c r="BNW28" s="236"/>
      <c r="BNX28" s="236"/>
      <c r="BNY28" s="236"/>
      <c r="BNZ28" s="236"/>
      <c r="BOA28" s="236"/>
      <c r="BOB28" s="236"/>
    </row>
    <row r="29" spans="1:1744" ht="40.5" customHeight="1" x14ac:dyDescent="0.25">
      <c r="A29" s="100" t="s">
        <v>19</v>
      </c>
      <c r="B29" s="63" t="str">
        <f>IF(LEN(C43)=0,"",C43)</f>
        <v>DOC - Divers (rapport)</v>
      </c>
      <c r="C29" s="179"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222"/>
      <c r="DW29" s="223"/>
      <c r="DX29" s="223"/>
      <c r="DY29" s="223"/>
      <c r="DZ29" s="224"/>
      <c r="EA29" s="225"/>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236"/>
      <c r="BLW29" s="236"/>
      <c r="BLX29" s="236"/>
      <c r="BLY29" s="236"/>
      <c r="BLZ29" s="236"/>
      <c r="BMA29" s="236"/>
      <c r="BMB29" s="236"/>
      <c r="BMC29" s="236"/>
      <c r="BMD29" s="236"/>
      <c r="BME29" s="236"/>
      <c r="BMF29" s="236"/>
      <c r="BMG29" s="236"/>
      <c r="BMH29" s="236"/>
      <c r="BMI29" s="236"/>
      <c r="BMJ29" s="236"/>
      <c r="BMK29" s="236"/>
      <c r="BML29" s="236"/>
      <c r="BMM29" s="236"/>
      <c r="BMN29" s="236"/>
      <c r="BMO29" s="236"/>
      <c r="BMP29" s="236"/>
      <c r="BMQ29" s="236"/>
      <c r="BMR29" s="236"/>
      <c r="BMS29" s="236"/>
      <c r="BMT29" s="236"/>
      <c r="BMU29" s="236"/>
      <c r="BMV29" s="236"/>
      <c r="BMW29" s="236"/>
      <c r="BMX29" s="236"/>
      <c r="BMY29" s="236"/>
      <c r="BMZ29" s="236"/>
      <c r="BNA29" s="236"/>
      <c r="BNB29" s="236"/>
      <c r="BNC29" s="236"/>
      <c r="BND29" s="236"/>
      <c r="BNE29" s="236"/>
      <c r="BNF29" s="236"/>
      <c r="BNG29" s="236"/>
      <c r="BNH29" s="236"/>
      <c r="BNI29" s="236"/>
      <c r="BNJ29" s="236"/>
      <c r="BNK29" s="236"/>
      <c r="BNL29" s="236"/>
      <c r="BNM29" s="236"/>
      <c r="BNN29" s="236"/>
      <c r="BNO29" s="236"/>
      <c r="BNP29" s="236"/>
      <c r="BNQ29" s="236"/>
      <c r="BNR29" s="236"/>
      <c r="BNS29" s="236"/>
      <c r="BNT29" s="236"/>
      <c r="BNU29" s="236"/>
      <c r="BNV29" s="236"/>
      <c r="BNW29" s="236"/>
      <c r="BNX29" s="236"/>
      <c r="BNY29" s="236"/>
      <c r="BNZ29" s="236"/>
      <c r="BOA29" s="236"/>
      <c r="BOB29" s="236"/>
    </row>
    <row r="30" spans="1:1744" ht="18" x14ac:dyDescent="0.3">
      <c r="A30" s="100" t="s">
        <v>20</v>
      </c>
      <c r="B30" s="63" t="str">
        <f>IF(LEN(C45)=0,"",C45)</f>
        <v>DOC - Préparer le rendu du projet</v>
      </c>
      <c r="C30" s="18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236"/>
      <c r="BLW30" s="236"/>
      <c r="BLX30" s="236"/>
      <c r="BLY30" s="236"/>
      <c r="BLZ30" s="236"/>
      <c r="BMA30" s="236"/>
      <c r="BMB30" s="236"/>
      <c r="BMC30" s="236"/>
      <c r="BMD30" s="236"/>
      <c r="BME30" s="236"/>
      <c r="BMF30" s="236"/>
      <c r="BMG30" s="236"/>
      <c r="BMH30" s="236"/>
      <c r="BMI30" s="236"/>
      <c r="BMJ30" s="236"/>
      <c r="BMK30" s="236"/>
      <c r="BML30" s="236"/>
      <c r="BMM30" s="236"/>
      <c r="BMN30" s="236"/>
      <c r="BMO30" s="236"/>
      <c r="BMP30" s="236"/>
      <c r="BMQ30" s="236"/>
      <c r="BMR30" s="236"/>
      <c r="BMS30" s="236"/>
      <c r="BMT30" s="236"/>
      <c r="BMU30" s="236"/>
      <c r="BMV30" s="236"/>
      <c r="BMW30" s="236"/>
      <c r="BMX30" s="236"/>
      <c r="BMY30" s="236"/>
      <c r="BMZ30" s="236"/>
      <c r="BNA30" s="236"/>
      <c r="BNB30" s="236"/>
      <c r="BNC30" s="236"/>
      <c r="BND30" s="236"/>
      <c r="BNE30" s="236"/>
      <c r="BNF30" s="236"/>
      <c r="BNG30" s="236"/>
      <c r="BNH30" s="236"/>
      <c r="BNI30" s="236"/>
      <c r="BNJ30" s="236"/>
      <c r="BNK30" s="236"/>
      <c r="BNL30" s="236"/>
      <c r="BNM30" s="236"/>
      <c r="BNN30" s="236"/>
      <c r="BNO30" s="236"/>
      <c r="BNP30" s="236"/>
      <c r="BNQ30" s="236"/>
      <c r="BNR30" s="236"/>
      <c r="BNS30" s="236"/>
      <c r="BNT30" s="236"/>
      <c r="BNU30" s="236"/>
      <c r="BNV30" s="236"/>
      <c r="BNW30" s="236"/>
      <c r="BNX30" s="236"/>
      <c r="BNY30" s="236"/>
      <c r="BNZ30" s="236"/>
      <c r="BOA30" s="236"/>
      <c r="BOB30" s="236"/>
    </row>
    <row r="31" spans="1:1744" ht="18" x14ac:dyDescent="0.25">
      <c r="A31" s="100" t="s">
        <v>19</v>
      </c>
      <c r="B31" s="63" t="str">
        <f>IF(LEN(C47)=0,"",C47)</f>
        <v>DEV - Mise en place de l'environnement</v>
      </c>
      <c r="C31" s="179"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216"/>
      <c r="GE31" s="217"/>
      <c r="GF31" s="217"/>
      <c r="GG31" s="217"/>
      <c r="GH31" s="218"/>
      <c r="GI31" s="219"/>
      <c r="GJ31" s="218"/>
      <c r="GK31" s="218"/>
      <c r="GL31" s="218"/>
      <c r="GM31" s="218"/>
      <c r="GN31" s="218"/>
      <c r="GO31" s="220"/>
      <c r="GP31" s="218"/>
      <c r="GQ31" s="218"/>
      <c r="GR31" s="218"/>
      <c r="GS31" s="218"/>
      <c r="GT31" s="218"/>
      <c r="GU31" s="221"/>
      <c r="GV31" s="218"/>
      <c r="GW31" s="218"/>
      <c r="GX31" s="218"/>
      <c r="GY31" s="218"/>
      <c r="GZ31" s="218"/>
      <c r="HA31" s="220"/>
      <c r="HB31" s="218"/>
      <c r="HC31" s="218"/>
      <c r="HD31" s="218"/>
      <c r="HE31" s="218"/>
      <c r="HF31" s="218"/>
      <c r="HG31" s="221"/>
      <c r="HH31" s="217"/>
      <c r="HI31" s="217"/>
      <c r="HJ31" s="217"/>
      <c r="HK31" s="217"/>
      <c r="HL31" s="218"/>
      <c r="HM31" s="220"/>
      <c r="HN31" s="218"/>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236"/>
      <c r="BLW31" s="236"/>
      <c r="BLX31" s="236"/>
      <c r="BLY31" s="236"/>
      <c r="BLZ31" s="236"/>
      <c r="BMA31" s="236"/>
      <c r="BMB31" s="236"/>
      <c r="BMC31" s="236"/>
      <c r="BMD31" s="236"/>
      <c r="BME31" s="236"/>
      <c r="BMF31" s="236"/>
      <c r="BMG31" s="236"/>
      <c r="BMH31" s="236"/>
      <c r="BMI31" s="236"/>
      <c r="BMJ31" s="236"/>
      <c r="BMK31" s="236"/>
      <c r="BML31" s="236"/>
      <c r="BMM31" s="236"/>
      <c r="BMN31" s="236"/>
      <c r="BMO31" s="236"/>
      <c r="BMP31" s="236"/>
      <c r="BMQ31" s="236"/>
      <c r="BMR31" s="236"/>
      <c r="BMS31" s="236"/>
      <c r="BMT31" s="236"/>
      <c r="BMU31" s="236"/>
      <c r="BMV31" s="236"/>
      <c r="BMW31" s="236"/>
      <c r="BMX31" s="236"/>
      <c r="BMY31" s="236"/>
      <c r="BMZ31" s="236"/>
      <c r="BNA31" s="236"/>
      <c r="BNB31" s="236"/>
      <c r="BNC31" s="236"/>
      <c r="BND31" s="236"/>
      <c r="BNE31" s="236"/>
      <c r="BNF31" s="236"/>
      <c r="BNG31" s="236"/>
      <c r="BNH31" s="236"/>
      <c r="BNI31" s="236"/>
      <c r="BNJ31" s="236"/>
      <c r="BNK31" s="236"/>
      <c r="BNL31" s="236"/>
      <c r="BNM31" s="236"/>
      <c r="BNN31" s="236"/>
      <c r="BNO31" s="236"/>
      <c r="BNP31" s="236"/>
      <c r="BNQ31" s="236"/>
      <c r="BNR31" s="236"/>
      <c r="BNS31" s="236"/>
      <c r="BNT31" s="236"/>
      <c r="BNU31" s="236"/>
      <c r="BNV31" s="236"/>
      <c r="BNW31" s="236"/>
      <c r="BNX31" s="236"/>
      <c r="BNY31" s="236"/>
      <c r="BNZ31" s="236"/>
      <c r="BOA31" s="236"/>
      <c r="BOB31" s="236"/>
    </row>
    <row r="32" spans="1:1744" ht="18" x14ac:dyDescent="0.3">
      <c r="A32" s="100" t="s">
        <v>20</v>
      </c>
      <c r="B32" s="63" t="str">
        <f>IF(LEN(C49)=0,"",C49)</f>
        <v>DEV - Implémenter un widget "bouton"</v>
      </c>
      <c r="C32" s="181"/>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36"/>
      <c r="BLW32" s="236"/>
      <c r="BLX32" s="236"/>
      <c r="BLY32" s="236"/>
      <c r="BLZ32" s="236"/>
      <c r="BMA32" s="236"/>
      <c r="BMB32" s="236"/>
      <c r="BMC32" s="236"/>
      <c r="BMD32" s="236"/>
      <c r="BME32" s="236"/>
      <c r="BMF32" s="236"/>
      <c r="BMG32" s="236"/>
      <c r="BMH32" s="236"/>
      <c r="BMI32" s="236"/>
      <c r="BMJ32" s="236"/>
      <c r="BMK32" s="236"/>
      <c r="BML32" s="236"/>
      <c r="BMM32" s="236"/>
      <c r="BMN32" s="236"/>
      <c r="BMO32" s="236"/>
      <c r="BMP32" s="236"/>
      <c r="BMQ32" s="236"/>
      <c r="BMR32" s="236"/>
      <c r="BMS32" s="236"/>
      <c r="BMT32" s="236"/>
      <c r="BMU32" s="236"/>
      <c r="BMV32" s="236"/>
      <c r="BMW32" s="236"/>
      <c r="BMX32" s="236"/>
      <c r="BMY32" s="236"/>
      <c r="BMZ32" s="236"/>
      <c r="BNA32" s="236"/>
      <c r="BNB32" s="236"/>
      <c r="BNC32" s="236"/>
      <c r="BND32" s="236"/>
      <c r="BNE32" s="236"/>
      <c r="BNF32" s="236"/>
      <c r="BNG32" s="236"/>
      <c r="BNH32" s="236"/>
      <c r="BNI32" s="236"/>
      <c r="BNJ32" s="236"/>
      <c r="BNK32" s="236"/>
      <c r="BNL32" s="236"/>
      <c r="BNM32" s="236"/>
      <c r="BNN32" s="236"/>
      <c r="BNO32" s="236"/>
      <c r="BNP32" s="236"/>
      <c r="BNQ32" s="236"/>
      <c r="BNR32" s="236"/>
      <c r="BNS32" s="236"/>
      <c r="BNT32" s="236"/>
      <c r="BNU32" s="236"/>
      <c r="BNV32" s="236"/>
      <c r="BNW32" s="236"/>
      <c r="BNX32" s="236"/>
      <c r="BNY32" s="236"/>
      <c r="BNZ32" s="236"/>
      <c r="BOA32" s="236"/>
      <c r="BOB32" s="236"/>
    </row>
    <row r="33" spans="1:1745" ht="18" x14ac:dyDescent="0.25">
      <c r="A33" s="100" t="s">
        <v>19</v>
      </c>
      <c r="B33" s="63" t="str">
        <f>IF(LEN(C51)=0,"",C51)</f>
        <v>DEV - Implémenter le menu principal</v>
      </c>
      <c r="C33" s="179"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222"/>
      <c r="AKE33" s="223"/>
      <c r="AKF33" s="223"/>
      <c r="AKG33" s="223"/>
      <c r="AKH33" s="224"/>
      <c r="AKI33" s="225"/>
      <c r="AKJ33" s="224"/>
      <c r="AKK33" s="224"/>
      <c r="AKL33" s="224"/>
      <c r="AKM33" s="224"/>
      <c r="AKN33" s="224"/>
      <c r="AKO33" s="226"/>
      <c r="AKP33" s="224"/>
      <c r="AKQ33" s="224"/>
      <c r="AKR33" s="224"/>
      <c r="AKS33" s="224"/>
      <c r="AKT33" s="224"/>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222"/>
      <c r="AOU33" s="223"/>
      <c r="AOV33" s="223"/>
      <c r="AOW33" s="223"/>
      <c r="AOX33" s="224"/>
      <c r="AOY33" s="225"/>
      <c r="AOZ33" s="224"/>
      <c r="APA33" s="224"/>
      <c r="APB33" s="224"/>
      <c r="APC33" s="224"/>
      <c r="APD33" s="224"/>
      <c r="APE33" s="226"/>
      <c r="APF33" s="224"/>
      <c r="APG33" s="224"/>
      <c r="APH33" s="224"/>
      <c r="API33" s="224"/>
      <c r="APJ33" s="224"/>
      <c r="APK33" s="227"/>
      <c r="APL33" s="224"/>
      <c r="APM33" s="224"/>
      <c r="APN33" s="224"/>
      <c r="APO33" s="224"/>
      <c r="APP33" s="224"/>
      <c r="APQ33" s="226"/>
      <c r="APR33" s="224"/>
      <c r="APS33" s="224"/>
      <c r="APT33" s="224"/>
      <c r="APU33" s="224"/>
      <c r="APV33" s="224"/>
      <c r="APW33" s="227"/>
      <c r="APX33" s="223"/>
      <c r="APY33" s="223"/>
      <c r="APZ33" s="223"/>
      <c r="AQA33" s="223"/>
      <c r="AQB33" s="224"/>
      <c r="AQC33" s="226"/>
      <c r="AQD33" s="224"/>
      <c r="AQE33" s="224"/>
      <c r="AQF33" s="224"/>
      <c r="AQG33" s="224"/>
      <c r="AQH33" s="224"/>
      <c r="AQI33" s="227"/>
      <c r="AQJ33" s="224"/>
      <c r="AQK33" s="224"/>
      <c r="AQL33" s="224"/>
      <c r="AQM33" s="224"/>
      <c r="AQN33" s="224"/>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222"/>
      <c r="AYA33" s="223"/>
      <c r="AYB33" s="223"/>
      <c r="AYC33" s="223"/>
      <c r="AYD33" s="224"/>
      <c r="AYE33" s="225"/>
      <c r="AYF33" s="224"/>
      <c r="AYG33" s="224"/>
      <c r="AYH33" s="224"/>
      <c r="AYI33" s="224"/>
      <c r="AYJ33" s="224"/>
      <c r="AYK33" s="226"/>
      <c r="AYL33" s="224"/>
      <c r="AYM33" s="224"/>
      <c r="AYN33" s="224"/>
      <c r="AYO33" s="224"/>
      <c r="AYP33" s="224"/>
      <c r="AYQ33" s="227"/>
      <c r="AYR33" s="224"/>
      <c r="AYS33" s="224"/>
      <c r="AYT33" s="224"/>
      <c r="AYU33" s="224"/>
      <c r="AYV33" s="224"/>
      <c r="AYW33" s="226"/>
      <c r="AYX33" s="224"/>
      <c r="AYY33" s="224"/>
      <c r="AYZ33" s="224"/>
      <c r="AZA33" s="224"/>
      <c r="AZB33" s="224"/>
      <c r="AZC33" s="227"/>
      <c r="AZD33" s="223"/>
      <c r="AZE33" s="223"/>
      <c r="AZF33" s="223"/>
      <c r="AZG33" s="223"/>
      <c r="AZH33" s="224"/>
      <c r="AZI33" s="226"/>
      <c r="AZJ33" s="224"/>
      <c r="AZK33" s="224"/>
      <c r="AZL33" s="224"/>
      <c r="AZM33" s="224"/>
      <c r="AZN33" s="224"/>
      <c r="AZO33" s="227"/>
      <c r="AZP33" s="224"/>
      <c r="AZQ33" s="224"/>
      <c r="AZR33" s="224"/>
      <c r="AZS33" s="224"/>
      <c r="AZT33" s="224"/>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236"/>
      <c r="BLW33" s="236"/>
      <c r="BLX33" s="236"/>
      <c r="BLY33" s="236"/>
      <c r="BLZ33" s="236"/>
      <c r="BMA33" s="236"/>
      <c r="BMB33" s="236"/>
      <c r="BMC33" s="236"/>
      <c r="BMD33" s="236"/>
      <c r="BME33" s="236"/>
      <c r="BMF33" s="236"/>
      <c r="BMG33" s="236"/>
      <c r="BMH33" s="236"/>
      <c r="BMI33" s="236"/>
      <c r="BMJ33" s="236"/>
      <c r="BMK33" s="236"/>
      <c r="BML33" s="236"/>
      <c r="BMM33" s="236"/>
      <c r="BMN33" s="236"/>
      <c r="BMO33" s="236"/>
      <c r="BMP33" s="236"/>
      <c r="BMQ33" s="236"/>
      <c r="BMR33" s="236"/>
      <c r="BMS33" s="236"/>
      <c r="BMT33" s="236"/>
      <c r="BMU33" s="236"/>
      <c r="BMV33" s="236"/>
      <c r="BMW33" s="236"/>
      <c r="BMX33" s="236"/>
      <c r="BMY33" s="236"/>
      <c r="BMZ33" s="236"/>
      <c r="BNA33" s="236"/>
      <c r="BNB33" s="236"/>
      <c r="BNC33" s="236"/>
      <c r="BND33" s="236"/>
      <c r="BNE33" s="236"/>
      <c r="BNF33" s="236"/>
      <c r="BNG33" s="236"/>
      <c r="BNH33" s="236"/>
      <c r="BNI33" s="236"/>
      <c r="BNJ33" s="236"/>
      <c r="BNK33" s="236"/>
      <c r="BNL33" s="236"/>
      <c r="BNM33" s="236"/>
      <c r="BNN33" s="236"/>
      <c r="BNO33" s="236"/>
      <c r="BNP33" s="236"/>
      <c r="BNQ33" s="236"/>
      <c r="BNR33" s="236"/>
      <c r="BNS33" s="236"/>
      <c r="BNT33" s="236"/>
      <c r="BNU33" s="236"/>
      <c r="BNV33" s="236"/>
      <c r="BNW33" s="236"/>
      <c r="BNX33" s="236"/>
      <c r="BNY33" s="236"/>
      <c r="BNZ33" s="236"/>
      <c r="BOA33" s="236"/>
      <c r="BOB33" s="236"/>
    </row>
    <row r="34" spans="1:1745" ht="18" x14ac:dyDescent="0.3">
      <c r="A34" s="100" t="s">
        <v>20</v>
      </c>
      <c r="B34" s="63" t="str">
        <f>IF(LEN(C53)=0,"",C53)</f>
        <v>DEV - Implémentation du lanceur de billes</v>
      </c>
      <c r="C34" s="18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236"/>
      <c r="BLW34" s="236"/>
      <c r="BLX34" s="236"/>
      <c r="BLY34" s="236"/>
      <c r="BLZ34" s="236"/>
      <c r="BMA34" s="236"/>
      <c r="BMB34" s="236"/>
      <c r="BMC34" s="236"/>
      <c r="BMD34" s="236"/>
      <c r="BME34" s="236"/>
      <c r="BMF34" s="236"/>
      <c r="BMG34" s="236"/>
      <c r="BMH34" s="236"/>
      <c r="BMI34" s="236"/>
      <c r="BMJ34" s="236"/>
      <c r="BMK34" s="236"/>
      <c r="BML34" s="236"/>
      <c r="BMM34" s="236"/>
      <c r="BMN34" s="236"/>
      <c r="BMO34" s="236"/>
      <c r="BMP34" s="236"/>
      <c r="BMQ34" s="236"/>
      <c r="BMR34" s="236"/>
      <c r="BMS34" s="236"/>
      <c r="BMT34" s="236"/>
      <c r="BMU34" s="236"/>
      <c r="BMV34" s="236"/>
      <c r="BMW34" s="236"/>
      <c r="BMX34" s="236"/>
      <c r="BMY34" s="236"/>
      <c r="BMZ34" s="236"/>
      <c r="BNA34" s="236"/>
      <c r="BNB34" s="236"/>
      <c r="BNC34" s="236"/>
      <c r="BND34" s="236"/>
      <c r="BNE34" s="236"/>
      <c r="BNF34" s="236"/>
      <c r="BNG34" s="236"/>
      <c r="BNH34" s="236"/>
      <c r="BNI34" s="236"/>
      <c r="BNJ34" s="236"/>
      <c r="BNK34" s="236"/>
      <c r="BNL34" s="236"/>
      <c r="BNM34" s="236"/>
      <c r="BNN34" s="236"/>
      <c r="BNO34" s="236"/>
      <c r="BNP34" s="236"/>
      <c r="BNQ34" s="236"/>
      <c r="BNR34" s="236"/>
      <c r="BNS34" s="236"/>
      <c r="BNT34" s="236"/>
      <c r="BNU34" s="236"/>
      <c r="BNV34" s="236"/>
      <c r="BNW34" s="236"/>
      <c r="BNX34" s="236"/>
      <c r="BNY34" s="236"/>
      <c r="BNZ34" s="236"/>
      <c r="BOA34" s="236"/>
      <c r="BOB34" s="236"/>
    </row>
    <row r="35" spans="1:1745" ht="20.100000000000001" customHeight="1" x14ac:dyDescent="0.25">
      <c r="A35" s="100" t="s">
        <v>19</v>
      </c>
      <c r="B35" s="63" t="str">
        <f>IF(LEN(C55)=0,"",C55)</f>
        <v>DEV - Afficher la "trace" des billes</v>
      </c>
      <c r="C35" s="179"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216"/>
      <c r="NC35" s="217"/>
      <c r="ND35" s="217"/>
      <c r="NE35" s="217"/>
      <c r="NF35" s="218"/>
      <c r="NG35" s="219"/>
      <c r="NH35" s="218"/>
      <c r="NI35" s="218"/>
      <c r="NJ35" s="218"/>
      <c r="NK35" s="218"/>
      <c r="NL35" s="218"/>
      <c r="NM35" s="220"/>
      <c r="NN35" s="218"/>
      <c r="NO35" s="218"/>
      <c r="NP35" s="218"/>
      <c r="NQ35" s="218"/>
      <c r="NR35" s="218"/>
      <c r="NS35" s="221"/>
      <c r="NT35" s="218"/>
      <c r="NU35" s="218"/>
      <c r="NV35" s="218"/>
      <c r="NW35" s="218"/>
      <c r="NX35" s="218"/>
      <c r="NY35" s="220"/>
      <c r="NZ35" s="218"/>
      <c r="OA35" s="218"/>
      <c r="OB35" s="218"/>
      <c r="OC35" s="218"/>
      <c r="OD35" s="218"/>
      <c r="OE35" s="221"/>
      <c r="OF35" s="217"/>
      <c r="OG35" s="217"/>
      <c r="OH35" s="217"/>
      <c r="OI35" s="217"/>
      <c r="OJ35" s="218"/>
      <c r="OK35" s="220"/>
      <c r="OL35" s="218"/>
      <c r="OM35" s="218"/>
      <c r="ON35" s="218"/>
      <c r="OO35" s="218"/>
      <c r="OP35" s="218"/>
      <c r="OQ35" s="221"/>
      <c r="OR35" s="218"/>
      <c r="OS35" s="218"/>
      <c r="OT35" s="218"/>
      <c r="OU35" s="218"/>
      <c r="OV35" s="218"/>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236"/>
      <c r="BLW35" s="236"/>
      <c r="BLX35" s="236"/>
      <c r="BLY35" s="236"/>
      <c r="BLZ35" s="236"/>
      <c r="BMA35" s="236"/>
      <c r="BMB35" s="236"/>
      <c r="BMC35" s="236"/>
      <c r="BMD35" s="236"/>
      <c r="BME35" s="236"/>
      <c r="BMF35" s="236"/>
      <c r="BMG35" s="236"/>
      <c r="BMH35" s="236"/>
      <c r="BMI35" s="236"/>
      <c r="BMJ35" s="236"/>
      <c r="BMK35" s="236"/>
      <c r="BML35" s="236"/>
      <c r="BMM35" s="236"/>
      <c r="BMN35" s="236"/>
      <c r="BMO35" s="236"/>
      <c r="BMP35" s="236"/>
      <c r="BMQ35" s="236"/>
      <c r="BMR35" s="236"/>
      <c r="BMS35" s="236"/>
      <c r="BMT35" s="236"/>
      <c r="BMU35" s="236"/>
      <c r="BMV35" s="236"/>
      <c r="BMW35" s="236"/>
      <c r="BMX35" s="236"/>
      <c r="BMY35" s="236"/>
      <c r="BMZ35" s="236"/>
      <c r="BNA35" s="236"/>
      <c r="BNB35" s="236"/>
      <c r="BNC35" s="236"/>
      <c r="BND35" s="236"/>
      <c r="BNE35" s="236"/>
      <c r="BNF35" s="236"/>
      <c r="BNG35" s="236"/>
      <c r="BNH35" s="236"/>
      <c r="BNI35" s="236"/>
      <c r="BNJ35" s="236"/>
      <c r="BNK35" s="236"/>
      <c r="BNL35" s="236"/>
      <c r="BNM35" s="236"/>
      <c r="BNN35" s="236"/>
      <c r="BNO35" s="236"/>
      <c r="BNP35" s="236"/>
      <c r="BNQ35" s="236"/>
      <c r="BNR35" s="236"/>
      <c r="BNS35" s="236"/>
      <c r="BNT35" s="236"/>
      <c r="BNU35" s="236"/>
      <c r="BNV35" s="236"/>
      <c r="BNW35" s="236"/>
      <c r="BNX35" s="236"/>
      <c r="BNY35" s="236"/>
      <c r="BNZ35" s="236"/>
      <c r="BOA35" s="236"/>
      <c r="BOB35" s="236"/>
    </row>
    <row r="36" spans="1:1745" ht="20.100000000000001" customHeight="1" x14ac:dyDescent="0.25">
      <c r="A36" s="100" t="s">
        <v>20</v>
      </c>
      <c r="B36" s="63" t="str">
        <f>IF(LEN(C57)=0,"",C57)</f>
        <v>DEV - Implémentation des collisions avec les bords</v>
      </c>
      <c r="C36" s="181"/>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36"/>
      <c r="BLW36" s="236"/>
      <c r="BLX36" s="236"/>
      <c r="BLY36" s="236"/>
      <c r="BLZ36" s="236"/>
      <c r="BMA36" s="236"/>
      <c r="BMB36" s="236"/>
      <c r="BMC36" s="236"/>
      <c r="BMD36" s="236"/>
      <c r="BME36" s="236"/>
      <c r="BMF36" s="236"/>
      <c r="BMG36" s="236"/>
      <c r="BMH36" s="236"/>
      <c r="BMI36" s="236"/>
      <c r="BMJ36" s="236"/>
      <c r="BMK36" s="236"/>
      <c r="BML36" s="236"/>
      <c r="BMM36" s="236"/>
      <c r="BMN36" s="236"/>
      <c r="BMO36" s="236"/>
      <c r="BMP36" s="236"/>
      <c r="BMQ36" s="236"/>
      <c r="BMR36" s="236"/>
      <c r="BMS36" s="236"/>
      <c r="BMT36" s="236"/>
      <c r="BMU36" s="236"/>
      <c r="BMV36" s="236"/>
      <c r="BMW36" s="236"/>
      <c r="BMX36" s="236"/>
      <c r="BMY36" s="236"/>
      <c r="BMZ36" s="236"/>
      <c r="BNA36" s="236"/>
      <c r="BNB36" s="236"/>
      <c r="BNC36" s="236"/>
      <c r="BND36" s="236"/>
      <c r="BNE36" s="236"/>
      <c r="BNF36" s="236"/>
      <c r="BNG36" s="236"/>
      <c r="BNH36" s="236"/>
      <c r="BNI36" s="236"/>
      <c r="BNJ36" s="236"/>
      <c r="BNK36" s="236"/>
      <c r="BNL36" s="236"/>
      <c r="BNM36" s="236"/>
      <c r="BNN36" s="236"/>
      <c r="BNO36" s="236"/>
      <c r="BNP36" s="236"/>
      <c r="BNQ36" s="236"/>
      <c r="BNR36" s="236"/>
      <c r="BNS36" s="236"/>
      <c r="BNT36" s="236"/>
      <c r="BNU36" s="236"/>
      <c r="BNV36" s="236"/>
      <c r="BNW36" s="236"/>
      <c r="BNX36" s="236"/>
      <c r="BNY36" s="236"/>
      <c r="BNZ36" s="236"/>
      <c r="BOA36" s="236"/>
      <c r="BOB36" s="236"/>
    </row>
    <row r="37" spans="1:1745" ht="20.100000000000001" customHeight="1" x14ac:dyDescent="0.25">
      <c r="A37" s="100" t="s">
        <v>19</v>
      </c>
      <c r="B37" s="63" t="str">
        <f>IF(LEN(C59)=0,"",C59)</f>
        <v>DEV - Implémenter configuration des propriétés des billes 1-4</v>
      </c>
      <c r="C37" s="179"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222"/>
      <c r="PK37" s="223"/>
      <c r="PL37" s="223"/>
      <c r="PM37" s="223"/>
      <c r="PN37" s="224"/>
      <c r="PO37" s="225"/>
      <c r="PP37" s="224"/>
      <c r="PQ37" s="224"/>
      <c r="PR37" s="224"/>
      <c r="PS37" s="224"/>
      <c r="PT37" s="224"/>
      <c r="PU37" s="226"/>
      <c r="PV37" s="224"/>
      <c r="PW37" s="224"/>
      <c r="PX37" s="224"/>
      <c r="PY37" s="224"/>
      <c r="PZ37" s="224"/>
      <c r="QA37" s="227"/>
      <c r="QB37" s="224"/>
      <c r="QC37" s="224"/>
      <c r="QD37" s="224"/>
      <c r="QE37" s="224"/>
      <c r="QF37" s="224"/>
      <c r="QG37" s="226"/>
      <c r="QH37" s="224"/>
      <c r="QI37" s="224"/>
      <c r="QJ37" s="224"/>
      <c r="QK37" s="224"/>
      <c r="QL37" s="224"/>
      <c r="QM37" s="227"/>
      <c r="QN37" s="223"/>
      <c r="QO37" s="223"/>
      <c r="QP37" s="223"/>
      <c r="QQ37" s="223"/>
      <c r="QR37" s="224"/>
      <c r="QS37" s="226"/>
      <c r="QT37" s="224"/>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236"/>
      <c r="BLW37" s="236"/>
      <c r="BLX37" s="236"/>
      <c r="BLY37" s="236"/>
      <c r="BLZ37" s="236"/>
      <c r="BMA37" s="236"/>
      <c r="BMB37" s="236"/>
      <c r="BMC37" s="236"/>
      <c r="BMD37" s="236"/>
      <c r="BME37" s="236"/>
      <c r="BMF37" s="236"/>
      <c r="BMG37" s="236"/>
      <c r="BMH37" s="236"/>
      <c r="BMI37" s="236"/>
      <c r="BMJ37" s="236"/>
      <c r="BMK37" s="236"/>
      <c r="BML37" s="236"/>
      <c r="BMM37" s="236"/>
      <c r="BMN37" s="236"/>
      <c r="BMO37" s="236"/>
      <c r="BMP37" s="236"/>
      <c r="BMQ37" s="236"/>
      <c r="BMR37" s="236"/>
      <c r="BMS37" s="236"/>
      <c r="BMT37" s="236"/>
      <c r="BMU37" s="236"/>
      <c r="BMV37" s="236"/>
      <c r="BMW37" s="236"/>
      <c r="BMX37" s="236"/>
      <c r="BMY37" s="236"/>
      <c r="BMZ37" s="236"/>
      <c r="BNA37" s="236"/>
      <c r="BNB37" s="236"/>
      <c r="BNC37" s="236"/>
      <c r="BND37" s="236"/>
      <c r="BNE37" s="236"/>
      <c r="BNF37" s="236"/>
      <c r="BNG37" s="236"/>
      <c r="BNH37" s="236"/>
      <c r="BNI37" s="236"/>
      <c r="BNJ37" s="236"/>
      <c r="BNK37" s="236"/>
      <c r="BNL37" s="236"/>
      <c r="BNM37" s="236"/>
      <c r="BNN37" s="236"/>
      <c r="BNO37" s="236"/>
      <c r="BNP37" s="236"/>
      <c r="BNQ37" s="236"/>
      <c r="BNR37" s="236"/>
      <c r="BNS37" s="236"/>
      <c r="BNT37" s="236"/>
      <c r="BNU37" s="236"/>
      <c r="BNV37" s="236"/>
      <c r="BNW37" s="236"/>
      <c r="BNX37" s="236"/>
      <c r="BNY37" s="236"/>
      <c r="BNZ37" s="236"/>
      <c r="BOA37" s="236"/>
      <c r="BOB37" s="236"/>
    </row>
    <row r="38" spans="1:1745" ht="20.100000000000001" customHeight="1" x14ac:dyDescent="0.3">
      <c r="A38" s="100" t="s">
        <v>20</v>
      </c>
      <c r="B38" s="63" t="str">
        <f>IF(LEN(C61)=0,"",C61)</f>
        <v>DEV - Résoudre collisions élastiques avec masse entre deux billes</v>
      </c>
      <c r="C38" s="18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236"/>
      <c r="BLW38" s="236"/>
      <c r="BLX38" s="236"/>
      <c r="BLY38" s="236"/>
      <c r="BLZ38" s="236"/>
      <c r="BMA38" s="236"/>
      <c r="BMB38" s="236"/>
      <c r="BMC38" s="236"/>
      <c r="BMD38" s="236"/>
      <c r="BME38" s="236"/>
      <c r="BMF38" s="236"/>
      <c r="BMG38" s="236"/>
      <c r="BMH38" s="236"/>
      <c r="BMI38" s="236"/>
      <c r="BMJ38" s="236"/>
      <c r="BMK38" s="236"/>
      <c r="BML38" s="236"/>
      <c r="BMM38" s="236"/>
      <c r="BMN38" s="236"/>
      <c r="BMO38" s="236"/>
      <c r="BMP38" s="236"/>
      <c r="BMQ38" s="236"/>
      <c r="BMR38" s="236"/>
      <c r="BMS38" s="236"/>
      <c r="BMT38" s="236"/>
      <c r="BMU38" s="236"/>
      <c r="BMV38" s="236"/>
      <c r="BMW38" s="236"/>
      <c r="BMX38" s="236"/>
      <c r="BMY38" s="236"/>
      <c r="BMZ38" s="236"/>
      <c r="BNA38" s="236"/>
      <c r="BNB38" s="236"/>
      <c r="BNC38" s="236"/>
      <c r="BND38" s="236"/>
      <c r="BNE38" s="236"/>
      <c r="BNF38" s="236"/>
      <c r="BNG38" s="236"/>
      <c r="BNH38" s="236"/>
      <c r="BNI38" s="236"/>
      <c r="BNJ38" s="236"/>
      <c r="BNK38" s="236"/>
      <c r="BNL38" s="236"/>
      <c r="BNM38" s="236"/>
      <c r="BNN38" s="236"/>
      <c r="BNO38" s="236"/>
      <c r="BNP38" s="236"/>
      <c r="BNQ38" s="236"/>
      <c r="BNR38" s="236"/>
      <c r="BNS38" s="236"/>
      <c r="BNT38" s="236"/>
      <c r="BNU38" s="236"/>
      <c r="BNV38" s="236"/>
      <c r="BNW38" s="236"/>
      <c r="BNX38" s="236"/>
      <c r="BNY38" s="236"/>
      <c r="BNZ38" s="236"/>
      <c r="BOA38" s="236"/>
      <c r="BOB38" s="236"/>
    </row>
    <row r="39" spans="1:1745" ht="20.100000000000001" customHeight="1" x14ac:dyDescent="0.25">
      <c r="A39" s="100" t="s">
        <v>19</v>
      </c>
      <c r="B39" s="63" t="str">
        <f>IF(LEN(C63)=0,"",C63)</f>
        <v>DEV - Simulation expérience "chocs"</v>
      </c>
      <c r="C39" s="179"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218"/>
      <c r="ZS39" s="221"/>
      <c r="ZT39" s="217"/>
      <c r="ZU39" s="217"/>
      <c r="ZV39" s="217"/>
      <c r="ZW39" s="217"/>
      <c r="ZX39" s="218"/>
      <c r="ZY39" s="220"/>
      <c r="ZZ39" s="218"/>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236"/>
      <c r="BLW39" s="236"/>
      <c r="BLX39" s="236"/>
      <c r="BLY39" s="236"/>
      <c r="BLZ39" s="236"/>
      <c r="BMA39" s="236"/>
      <c r="BMB39" s="236"/>
      <c r="BMC39" s="236"/>
      <c r="BMD39" s="236"/>
      <c r="BME39" s="236"/>
      <c r="BMF39" s="236"/>
      <c r="BMG39" s="236"/>
      <c r="BMH39" s="236"/>
      <c r="BMI39" s="236"/>
      <c r="BMJ39" s="236"/>
      <c r="BMK39" s="236"/>
      <c r="BML39" s="236"/>
      <c r="BMM39" s="236"/>
      <c r="BMN39" s="236"/>
      <c r="BMO39" s="236"/>
      <c r="BMP39" s="236"/>
      <c r="BMQ39" s="236"/>
      <c r="BMR39" s="236"/>
      <c r="BMS39" s="236"/>
      <c r="BMT39" s="236"/>
      <c r="BMU39" s="236"/>
      <c r="BMV39" s="236"/>
      <c r="BMW39" s="236"/>
      <c r="BMX39" s="236"/>
      <c r="BMY39" s="236"/>
      <c r="BMZ39" s="236"/>
      <c r="BNA39" s="236"/>
      <c r="BNB39" s="236"/>
      <c r="BNC39" s="236"/>
      <c r="BND39" s="236"/>
      <c r="BNE39" s="236"/>
      <c r="BNF39" s="236"/>
      <c r="BNG39" s="236"/>
      <c r="BNH39" s="236"/>
      <c r="BNI39" s="236"/>
      <c r="BNJ39" s="236"/>
      <c r="BNK39" s="236"/>
      <c r="BNL39" s="236"/>
      <c r="BNM39" s="236"/>
      <c r="BNN39" s="236"/>
      <c r="BNO39" s="236"/>
      <c r="BNP39" s="236"/>
      <c r="BNQ39" s="236"/>
      <c r="BNR39" s="236"/>
      <c r="BNS39" s="236"/>
      <c r="BNT39" s="236"/>
      <c r="BNU39" s="236"/>
      <c r="BNV39" s="236"/>
      <c r="BNW39" s="236"/>
      <c r="BNX39" s="236"/>
      <c r="BNY39" s="236"/>
      <c r="BNZ39" s="236"/>
      <c r="BOA39" s="236"/>
      <c r="BOB39" s="236"/>
    </row>
    <row r="40" spans="1:1745" ht="20.100000000000001" customHeight="1" x14ac:dyDescent="0.25">
      <c r="A40" s="100" t="s">
        <v>20</v>
      </c>
      <c r="B40" s="63" t="str">
        <f>IF(LEN(C65)=0,"",C65)</f>
        <v>DEV - Simulation expérience "balistique"</v>
      </c>
      <c r="C40" s="181"/>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36"/>
      <c r="BLW40" s="236"/>
      <c r="BLX40" s="236"/>
      <c r="BLY40" s="236"/>
      <c r="BLZ40" s="236"/>
      <c r="BMA40" s="236"/>
      <c r="BMB40" s="236"/>
      <c r="BMC40" s="236"/>
      <c r="BMD40" s="236"/>
      <c r="BME40" s="236"/>
      <c r="BMF40" s="236"/>
      <c r="BMG40" s="236"/>
      <c r="BMH40" s="236"/>
      <c r="BMI40" s="236"/>
      <c r="BMJ40" s="236"/>
      <c r="BMK40" s="236"/>
      <c r="BML40" s="236"/>
      <c r="BMM40" s="236"/>
      <c r="BMN40" s="236"/>
      <c r="BMO40" s="236"/>
      <c r="BMP40" s="236"/>
      <c r="BMQ40" s="236"/>
      <c r="BMR40" s="236"/>
      <c r="BMS40" s="236"/>
      <c r="BMT40" s="236"/>
      <c r="BMU40" s="236"/>
      <c r="BMV40" s="236"/>
      <c r="BMW40" s="236"/>
      <c r="BMX40" s="236"/>
      <c r="BMY40" s="236"/>
      <c r="BMZ40" s="236"/>
      <c r="BNA40" s="236"/>
      <c r="BNB40" s="236"/>
      <c r="BNC40" s="236"/>
      <c r="BND40" s="236"/>
      <c r="BNE40" s="236"/>
      <c r="BNF40" s="236"/>
      <c r="BNG40" s="236"/>
      <c r="BNH40" s="236"/>
      <c r="BNI40" s="236"/>
      <c r="BNJ40" s="236"/>
      <c r="BNK40" s="236"/>
      <c r="BNL40" s="236"/>
      <c r="BNM40" s="236"/>
      <c r="BNN40" s="236"/>
      <c r="BNO40" s="236"/>
      <c r="BNP40" s="236"/>
      <c r="BNQ40" s="236"/>
      <c r="BNR40" s="236"/>
      <c r="BNS40" s="236"/>
      <c r="BNT40" s="236"/>
      <c r="BNU40" s="236"/>
      <c r="BNV40" s="236"/>
      <c r="BNW40" s="236"/>
      <c r="BNX40" s="236"/>
      <c r="BNY40" s="236"/>
      <c r="BNZ40" s="236"/>
      <c r="BOA40" s="236"/>
      <c r="BOB40" s="236"/>
    </row>
    <row r="41" spans="1:1745" ht="20.100000000000001" customHeight="1" x14ac:dyDescent="0.25">
      <c r="A41" s="100" t="s">
        <v>19</v>
      </c>
      <c r="B41" s="63" t="str">
        <f>IF(LEN(C67)=0,"",C67)</f>
        <v>DEV - Implémentation de la simulation balistique sans le vent</v>
      </c>
      <c r="C41" s="179"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222"/>
      <c r="WI41" s="223"/>
      <c r="WJ41" s="223"/>
      <c r="WK41" s="223"/>
      <c r="WL41" s="224"/>
      <c r="WM41" s="225"/>
      <c r="WN41" s="224"/>
      <c r="WO41" s="224"/>
      <c r="WP41" s="224"/>
      <c r="WQ41" s="224"/>
      <c r="WR41" s="224"/>
      <c r="WS41" s="226"/>
      <c r="WT41" s="224"/>
      <c r="WU41" s="224"/>
      <c r="WV41" s="224"/>
      <c r="WW41" s="224"/>
      <c r="WX41" s="224"/>
      <c r="WY41" s="227"/>
      <c r="WZ41" s="224"/>
      <c r="XA41" s="224"/>
      <c r="XB41" s="224"/>
      <c r="XC41" s="224"/>
      <c r="XD41" s="224"/>
      <c r="XE41" s="226"/>
      <c r="XF41" s="224"/>
      <c r="XG41" s="224"/>
      <c r="XH41" s="224"/>
      <c r="XI41" s="224"/>
      <c r="XJ41" s="224"/>
      <c r="XK41" s="227"/>
      <c r="XL41" s="223"/>
      <c r="XM41" s="223"/>
      <c r="XN41" s="223"/>
      <c r="XO41" s="223"/>
      <c r="XP41" s="224"/>
      <c r="XQ41" s="226"/>
      <c r="XR41" s="224"/>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236"/>
      <c r="BLW41" s="236"/>
      <c r="BLX41" s="236"/>
      <c r="BLY41" s="236"/>
      <c r="BLZ41" s="236"/>
      <c r="BMA41" s="236"/>
      <c r="BMB41" s="236"/>
      <c r="BMC41" s="236"/>
      <c r="BMD41" s="236"/>
      <c r="BME41" s="236"/>
      <c r="BMF41" s="236"/>
      <c r="BMG41" s="236"/>
      <c r="BMH41" s="236"/>
      <c r="BMI41" s="236"/>
      <c r="BMJ41" s="236"/>
      <c r="BMK41" s="236"/>
      <c r="BML41" s="236"/>
      <c r="BMM41" s="236"/>
      <c r="BMN41" s="236"/>
      <c r="BMO41" s="236"/>
      <c r="BMP41" s="236"/>
      <c r="BMQ41" s="236"/>
      <c r="BMR41" s="236"/>
      <c r="BMS41" s="236"/>
      <c r="BMT41" s="236"/>
      <c r="BMU41" s="236"/>
      <c r="BMV41" s="236"/>
      <c r="BMW41" s="236"/>
      <c r="BMX41" s="236"/>
      <c r="BMY41" s="236"/>
      <c r="BMZ41" s="236"/>
      <c r="BNA41" s="236"/>
      <c r="BNB41" s="236"/>
      <c r="BNC41" s="236"/>
      <c r="BND41" s="236"/>
      <c r="BNE41" s="236"/>
      <c r="BNF41" s="236"/>
      <c r="BNG41" s="236"/>
      <c r="BNH41" s="236"/>
      <c r="BNI41" s="236"/>
      <c r="BNJ41" s="236"/>
      <c r="BNK41" s="236"/>
      <c r="BNL41" s="236"/>
      <c r="BNM41" s="236"/>
      <c r="BNN41" s="236"/>
      <c r="BNO41" s="236"/>
      <c r="BNP41" s="236"/>
      <c r="BNQ41" s="236"/>
      <c r="BNR41" s="236"/>
      <c r="BNS41" s="236"/>
      <c r="BNT41" s="236"/>
      <c r="BNU41" s="236"/>
      <c r="BNV41" s="236"/>
      <c r="BNW41" s="236"/>
      <c r="BNX41" s="236"/>
      <c r="BNY41" s="236"/>
      <c r="BNZ41" s="236"/>
      <c r="BOA41" s="236"/>
      <c r="BOB41" s="236"/>
    </row>
    <row r="42" spans="1:1745" ht="20.100000000000001" customHeight="1" x14ac:dyDescent="0.3">
      <c r="A42" s="100" t="s">
        <v>20</v>
      </c>
      <c r="B42" s="63" t="str">
        <f>IF(LEN(C69)=0,"",C69)</f>
        <v>DEV - Prendre en compte le vent dans la trajectoire balistique</v>
      </c>
      <c r="C42" s="181"/>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236"/>
      <c r="BLW42" s="236"/>
      <c r="BLX42" s="236"/>
      <c r="BLY42" s="236"/>
      <c r="BLZ42" s="236"/>
      <c r="BMA42" s="236"/>
      <c r="BMB42" s="236"/>
      <c r="BMC42" s="236"/>
      <c r="BMD42" s="236"/>
      <c r="BME42" s="236"/>
      <c r="BMF42" s="236"/>
      <c r="BMG42" s="236"/>
      <c r="BMH42" s="236"/>
      <c r="BMI42" s="236"/>
      <c r="BMJ42" s="236"/>
      <c r="BMK42" s="236"/>
      <c r="BML42" s="236"/>
      <c r="BMM42" s="236"/>
      <c r="BMN42" s="236"/>
      <c r="BMO42" s="236"/>
      <c r="BMP42" s="236"/>
      <c r="BMQ42" s="236"/>
      <c r="BMR42" s="236"/>
      <c r="BMS42" s="236"/>
      <c r="BMT42" s="236"/>
      <c r="BMU42" s="236"/>
      <c r="BMV42" s="236"/>
      <c r="BMW42" s="236"/>
      <c r="BMX42" s="236"/>
      <c r="BMY42" s="236"/>
      <c r="BMZ42" s="236"/>
      <c r="BNA42" s="236"/>
      <c r="BNB42" s="236"/>
      <c r="BNC42" s="236"/>
      <c r="BND42" s="236"/>
      <c r="BNE42" s="236"/>
      <c r="BNF42" s="236"/>
      <c r="BNG42" s="236"/>
      <c r="BNH42" s="236"/>
      <c r="BNI42" s="236"/>
      <c r="BNJ42" s="236"/>
      <c r="BNK42" s="236"/>
      <c r="BNL42" s="236"/>
      <c r="BNM42" s="236"/>
      <c r="BNN42" s="236"/>
      <c r="BNO42" s="236"/>
      <c r="BNP42" s="236"/>
      <c r="BNQ42" s="236"/>
      <c r="BNR42" s="236"/>
      <c r="BNS42" s="236"/>
      <c r="BNT42" s="236"/>
      <c r="BNU42" s="236"/>
      <c r="BNV42" s="236"/>
      <c r="BNW42" s="236"/>
      <c r="BNX42" s="236"/>
      <c r="BNY42" s="236"/>
      <c r="BNZ42" s="236"/>
      <c r="BOA42" s="236"/>
      <c r="BOB42" s="236"/>
    </row>
    <row r="43" spans="1:1745" ht="20.100000000000001" customHeight="1" x14ac:dyDescent="0.25">
      <c r="A43" s="100" t="s">
        <v>19</v>
      </c>
      <c r="B43" s="63" t="str">
        <f>IF(LEN(C71)=0,"",C71)</f>
        <v>DEV - Détecter les collisions avec le "récipient"</v>
      </c>
      <c r="C43" s="179"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223"/>
      <c r="AEK43" s="223"/>
      <c r="AEL43" s="223"/>
      <c r="AEM43" s="223"/>
      <c r="AEN43" s="224"/>
      <c r="AEO43" s="226"/>
      <c r="AEP43" s="224"/>
      <c r="AEQ43" s="224"/>
      <c r="AER43" s="224"/>
      <c r="AES43" s="224"/>
      <c r="AET43" s="224"/>
      <c r="AEU43" s="227"/>
      <c r="AEV43" s="224"/>
      <c r="AEW43" s="224"/>
      <c r="AEX43" s="224"/>
      <c r="AEY43" s="224"/>
      <c r="AEZ43" s="224"/>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236"/>
      <c r="BLW43" s="236"/>
      <c r="BLX43" s="236"/>
      <c r="BLY43" s="236"/>
      <c r="BLZ43" s="236"/>
      <c r="BMA43" s="236"/>
      <c r="BMB43" s="236"/>
      <c r="BMC43" s="236"/>
      <c r="BMD43" s="236"/>
      <c r="BME43" s="236"/>
      <c r="BMF43" s="236"/>
      <c r="BMG43" s="236"/>
      <c r="BMH43" s="236"/>
      <c r="BMI43" s="236"/>
      <c r="BMJ43" s="236"/>
      <c r="BMK43" s="236"/>
      <c r="BML43" s="236"/>
      <c r="BMM43" s="236"/>
      <c r="BMN43" s="236"/>
      <c r="BMO43" s="236"/>
      <c r="BMP43" s="236"/>
      <c r="BMQ43" s="236"/>
      <c r="BMR43" s="236"/>
      <c r="BMS43" s="236"/>
      <c r="BMT43" s="236"/>
      <c r="BMU43" s="236"/>
      <c r="BMV43" s="236"/>
      <c r="BMW43" s="236"/>
      <c r="BMX43" s="236"/>
      <c r="BMY43" s="236"/>
      <c r="BMZ43" s="236"/>
      <c r="BNA43" s="236"/>
      <c r="BNB43" s="236"/>
      <c r="BNC43" s="236"/>
      <c r="BND43" s="236"/>
      <c r="BNE43" s="236"/>
      <c r="BNF43" s="236"/>
      <c r="BNG43" s="236"/>
      <c r="BNH43" s="236"/>
      <c r="BNI43" s="236"/>
      <c r="BNJ43" s="236"/>
      <c r="BNK43" s="236"/>
      <c r="BNL43" s="236"/>
      <c r="BNM43" s="236"/>
      <c r="BNN43" s="236"/>
      <c r="BNO43" s="236"/>
      <c r="BNP43" s="236"/>
      <c r="BNQ43" s="236"/>
      <c r="BNR43" s="236"/>
      <c r="BNS43" s="236"/>
      <c r="BNT43" s="236"/>
      <c r="BNU43" s="236"/>
      <c r="BNV43" s="236"/>
      <c r="BNW43" s="236"/>
      <c r="BNX43" s="236"/>
      <c r="BNY43" s="236"/>
      <c r="BNZ43" s="236"/>
      <c r="BOA43" s="236"/>
      <c r="BOB43" s="236"/>
    </row>
    <row r="44" spans="1:1745" ht="20.100000000000001" customHeight="1" x14ac:dyDescent="0.3">
      <c r="A44" s="100" t="s">
        <v>20</v>
      </c>
      <c r="B44" s="63" t="str">
        <f>IF(LEN(C73)=0,"",C73)</f>
        <v>DEV - Création de l'installateur (setup)</v>
      </c>
      <c r="C44" s="18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236"/>
      <c r="BLW44" s="236"/>
      <c r="BLX44" s="236"/>
      <c r="BLY44" s="236"/>
      <c r="BLZ44" s="236"/>
      <c r="BMA44" s="236"/>
      <c r="BMB44" s="236"/>
      <c r="BMC44" s="236"/>
      <c r="BMD44" s="236"/>
      <c r="BME44" s="236"/>
      <c r="BMF44" s="236"/>
      <c r="BMG44" s="236"/>
      <c r="BMH44" s="236"/>
      <c r="BMI44" s="236"/>
      <c r="BMJ44" s="236"/>
      <c r="BMK44" s="236"/>
      <c r="BML44" s="236"/>
      <c r="BMM44" s="236"/>
      <c r="BMN44" s="236"/>
      <c r="BMO44" s="236"/>
      <c r="BMP44" s="236"/>
      <c r="BMQ44" s="236"/>
      <c r="BMR44" s="236"/>
      <c r="BMS44" s="236"/>
      <c r="BMT44" s="236"/>
      <c r="BMU44" s="236"/>
      <c r="BMV44" s="236"/>
      <c r="BMW44" s="236"/>
      <c r="BMX44" s="236"/>
      <c r="BMY44" s="236"/>
      <c r="BMZ44" s="236"/>
      <c r="BNA44" s="236"/>
      <c r="BNB44" s="236"/>
      <c r="BNC44" s="236"/>
      <c r="BND44" s="236"/>
      <c r="BNE44" s="236"/>
      <c r="BNF44" s="236"/>
      <c r="BNG44" s="236"/>
      <c r="BNH44" s="236"/>
      <c r="BNI44" s="236"/>
      <c r="BNJ44" s="236"/>
      <c r="BNK44" s="236"/>
      <c r="BNL44" s="236"/>
      <c r="BNM44" s="236"/>
      <c r="BNN44" s="236"/>
      <c r="BNO44" s="236"/>
      <c r="BNP44" s="236"/>
      <c r="BNQ44" s="236"/>
      <c r="BNR44" s="236"/>
      <c r="BNS44" s="236"/>
      <c r="BNT44" s="236"/>
      <c r="BNU44" s="236"/>
      <c r="BNV44" s="236"/>
      <c r="BNW44" s="236"/>
      <c r="BNX44" s="236"/>
      <c r="BNY44" s="236"/>
      <c r="BNZ44" s="236"/>
      <c r="BOA44" s="236"/>
      <c r="BOB44" s="236"/>
    </row>
    <row r="45" spans="1:1745" ht="20.100000000000001" customHeight="1" x14ac:dyDescent="0.25">
      <c r="A45" s="100" t="s">
        <v>19</v>
      </c>
      <c r="B45" s="63" t="str">
        <f>IF(LEN(C75)=0,"",C75)</f>
        <v>DEV - Divers</v>
      </c>
      <c r="C45" s="179"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216"/>
      <c r="BHG45" s="217"/>
      <c r="BHH45" s="217"/>
      <c r="BHI45" s="217"/>
      <c r="BHJ45" s="218"/>
      <c r="BHK45" s="219"/>
      <c r="BHL45" s="218"/>
      <c r="BHM45" s="218"/>
      <c r="BHN45" s="218"/>
      <c r="BHO45" s="218"/>
      <c r="BHP45" s="218"/>
      <c r="BHQ45" s="220"/>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236"/>
      <c r="BLW45" s="236"/>
      <c r="BLX45" s="236"/>
      <c r="BLY45" s="236"/>
      <c r="BLZ45" s="236"/>
      <c r="BMA45" s="236"/>
      <c r="BMB45" s="236"/>
      <c r="BMC45" s="236"/>
      <c r="BMD45" s="236"/>
      <c r="BME45" s="236"/>
      <c r="BMF45" s="236"/>
      <c r="BMG45" s="236"/>
      <c r="BMH45" s="236"/>
      <c r="BMI45" s="236"/>
      <c r="BMJ45" s="236"/>
      <c r="BMK45" s="236"/>
      <c r="BML45" s="236"/>
      <c r="BMM45" s="236"/>
      <c r="BMN45" s="236"/>
      <c r="BMO45" s="236"/>
      <c r="BMP45" s="236"/>
      <c r="BMQ45" s="236"/>
      <c r="BMR45" s="236"/>
      <c r="BMS45" s="236"/>
      <c r="BMT45" s="236"/>
      <c r="BMU45" s="236"/>
      <c r="BMV45" s="236"/>
      <c r="BMW45" s="236"/>
      <c r="BMX45" s="236"/>
      <c r="BMY45" s="236"/>
      <c r="BMZ45" s="236"/>
      <c r="BNA45" s="236"/>
      <c r="BNB45" s="236"/>
      <c r="BNC45" s="236"/>
      <c r="BND45" s="236"/>
      <c r="BNE45" s="236"/>
      <c r="BNF45" s="236"/>
      <c r="BNG45" s="236"/>
      <c r="BNH45" s="236"/>
      <c r="BNI45" s="236"/>
      <c r="BNJ45" s="236"/>
      <c r="BNK45" s="236"/>
      <c r="BNL45" s="236"/>
      <c r="BNM45" s="236"/>
      <c r="BNN45" s="236"/>
      <c r="BNO45" s="236"/>
      <c r="BNP45" s="236"/>
      <c r="BNQ45" s="236"/>
      <c r="BNR45" s="236"/>
      <c r="BNS45" s="236"/>
      <c r="BNT45" s="236"/>
      <c r="BNU45" s="236"/>
      <c r="BNV45" s="236"/>
      <c r="BNW45" s="236"/>
      <c r="BNX45" s="236"/>
      <c r="BNY45" s="236"/>
      <c r="BNZ45" s="236"/>
      <c r="BOA45" s="236"/>
      <c r="BOB45" s="236"/>
      <c r="BOC45" s="235"/>
    </row>
    <row r="46" spans="1:1745" ht="20.100000000000001" customHeight="1" x14ac:dyDescent="0.25">
      <c r="A46" s="100" t="s">
        <v>20</v>
      </c>
      <c r="B46" s="63" t="str">
        <f>IF(LEN(C77)=0,"",C77)</f>
        <v>TEST - Validation des tests</v>
      </c>
      <c r="C46" s="181"/>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236"/>
      <c r="BLW46" s="236"/>
      <c r="BLX46" s="236"/>
      <c r="BLY46" s="236"/>
      <c r="BLZ46" s="236"/>
      <c r="BMA46" s="236"/>
      <c r="BMB46" s="236"/>
      <c r="BMC46" s="236"/>
      <c r="BMD46" s="236"/>
      <c r="BME46" s="236"/>
      <c r="BMF46" s="236"/>
      <c r="BMG46" s="236"/>
      <c r="BMH46" s="236"/>
      <c r="BMI46" s="236"/>
      <c r="BMJ46" s="236"/>
      <c r="BMK46" s="236"/>
      <c r="BML46" s="236"/>
      <c r="BMM46" s="236"/>
      <c r="BMN46" s="236"/>
      <c r="BMO46" s="236"/>
      <c r="BMP46" s="236"/>
      <c r="BMQ46" s="236"/>
      <c r="BMR46" s="236"/>
      <c r="BMS46" s="236"/>
      <c r="BMT46" s="236"/>
      <c r="BMU46" s="236"/>
      <c r="BMV46" s="236"/>
      <c r="BMW46" s="236"/>
      <c r="BMX46" s="236"/>
      <c r="BMY46" s="236"/>
      <c r="BMZ46" s="236"/>
      <c r="BNA46" s="236"/>
      <c r="BNB46" s="236"/>
      <c r="BNC46" s="236"/>
      <c r="BND46" s="236"/>
      <c r="BNE46" s="236"/>
      <c r="BNF46" s="236"/>
      <c r="BNG46" s="236"/>
      <c r="BNH46" s="236"/>
      <c r="BNI46" s="236"/>
      <c r="BNJ46" s="236"/>
      <c r="BNK46" s="236"/>
      <c r="BNL46" s="236"/>
      <c r="BNM46" s="236"/>
      <c r="BNN46" s="236"/>
      <c r="BNO46" s="236"/>
      <c r="BNP46" s="236"/>
      <c r="BNQ46" s="236"/>
      <c r="BNR46" s="236"/>
      <c r="BNS46" s="236"/>
      <c r="BNT46" s="236"/>
      <c r="BNU46" s="236"/>
      <c r="BNV46" s="236"/>
      <c r="BNW46" s="236"/>
      <c r="BNX46" s="236"/>
      <c r="BNY46" s="236"/>
      <c r="BNZ46" s="236"/>
      <c r="BOA46" s="236"/>
      <c r="BOB46" s="236"/>
    </row>
    <row r="47" spans="1:1745" ht="20.100000000000001" customHeight="1" x14ac:dyDescent="0.25">
      <c r="A47" s="100" t="s">
        <v>19</v>
      </c>
      <c r="B47" s="63" t="str">
        <f>IF(LEN(C79)=0,"",C79)</f>
        <v/>
      </c>
      <c r="C47" s="179"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218"/>
      <c r="EC47" s="218"/>
      <c r="ED47" s="218"/>
      <c r="EE47" s="218"/>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216"/>
      <c r="YQ47" s="217"/>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236"/>
      <c r="BLW47" s="236"/>
      <c r="BLX47" s="236"/>
      <c r="BLY47" s="236"/>
      <c r="BLZ47" s="236"/>
      <c r="BMA47" s="236"/>
      <c r="BMB47" s="236"/>
      <c r="BMC47" s="236"/>
      <c r="BMD47" s="236"/>
      <c r="BME47" s="236"/>
      <c r="BMF47" s="236"/>
      <c r="BMG47" s="236"/>
      <c r="BMH47" s="236"/>
      <c r="BMI47" s="236"/>
      <c r="BMJ47" s="236"/>
      <c r="BMK47" s="236"/>
      <c r="BML47" s="236"/>
      <c r="BMM47" s="236"/>
      <c r="BMN47" s="236"/>
      <c r="BMO47" s="236"/>
      <c r="BMP47" s="236"/>
      <c r="BMQ47" s="236"/>
      <c r="BMR47" s="236"/>
      <c r="BMS47" s="236"/>
      <c r="BMT47" s="236"/>
      <c r="BMU47" s="236"/>
      <c r="BMV47" s="236"/>
      <c r="BMW47" s="236"/>
      <c r="BMX47" s="236"/>
      <c r="BMY47" s="236"/>
      <c r="BMZ47" s="236"/>
      <c r="BNA47" s="236"/>
      <c r="BNB47" s="236"/>
      <c r="BNC47" s="236"/>
      <c r="BND47" s="236"/>
      <c r="BNE47" s="236"/>
      <c r="BNF47" s="236"/>
      <c r="BNG47" s="236"/>
      <c r="BNH47" s="236"/>
      <c r="BNI47" s="236"/>
      <c r="BNJ47" s="236"/>
      <c r="BNK47" s="236"/>
      <c r="BNL47" s="236"/>
      <c r="BNM47" s="236"/>
      <c r="BNN47" s="236"/>
      <c r="BNO47" s="236"/>
      <c r="BNP47" s="236"/>
      <c r="BNQ47" s="236"/>
      <c r="BNR47" s="236"/>
      <c r="BNS47" s="236"/>
      <c r="BNT47" s="236"/>
      <c r="BNU47" s="236"/>
      <c r="BNV47" s="236"/>
      <c r="BNW47" s="236"/>
      <c r="BNX47" s="236"/>
      <c r="BNY47" s="236"/>
      <c r="BNZ47" s="236"/>
      <c r="BOA47" s="236"/>
      <c r="BOB47" s="236"/>
    </row>
    <row r="48" spans="1:1745" ht="20.100000000000001" customHeight="1" x14ac:dyDescent="0.3">
      <c r="A48" s="100" t="s">
        <v>20</v>
      </c>
      <c r="B48" s="63" t="str">
        <f>IF(LEN(C81)=0,"",C81)</f>
        <v/>
      </c>
      <c r="C48" s="18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36"/>
      <c r="BLW48" s="236"/>
      <c r="BLX48" s="236"/>
      <c r="BLY48" s="236"/>
      <c r="BLZ48" s="236"/>
      <c r="BMA48" s="236"/>
      <c r="BMB48" s="236"/>
      <c r="BMC48" s="236"/>
      <c r="BMD48" s="236"/>
      <c r="BME48" s="236"/>
      <c r="BMF48" s="236"/>
      <c r="BMG48" s="236"/>
      <c r="BMH48" s="236"/>
      <c r="BMI48" s="236"/>
      <c r="BMJ48" s="236"/>
      <c r="BMK48" s="236"/>
      <c r="BML48" s="236"/>
      <c r="BMM48" s="236"/>
      <c r="BMN48" s="236"/>
      <c r="BMO48" s="236"/>
      <c r="BMP48" s="236"/>
      <c r="BMQ48" s="236"/>
      <c r="BMR48" s="236"/>
      <c r="BMS48" s="236"/>
      <c r="BMT48" s="236"/>
      <c r="BMU48" s="236"/>
      <c r="BMV48" s="236"/>
      <c r="BMW48" s="236"/>
      <c r="BMX48" s="236"/>
      <c r="BMY48" s="236"/>
      <c r="BMZ48" s="236"/>
      <c r="BNA48" s="236"/>
      <c r="BNB48" s="236"/>
      <c r="BNC48" s="236"/>
      <c r="BND48" s="236"/>
      <c r="BNE48" s="236"/>
      <c r="BNF48" s="236"/>
      <c r="BNG48" s="236"/>
      <c r="BNH48" s="236"/>
      <c r="BNI48" s="236"/>
      <c r="BNJ48" s="236"/>
      <c r="BNK48" s="236"/>
      <c r="BNL48" s="236"/>
      <c r="BNM48" s="236"/>
      <c r="BNN48" s="236"/>
      <c r="BNO48" s="236"/>
      <c r="BNP48" s="236"/>
      <c r="BNQ48" s="236"/>
      <c r="BNR48" s="236"/>
      <c r="BNS48" s="236"/>
      <c r="BNT48" s="236"/>
      <c r="BNU48" s="236"/>
      <c r="BNV48" s="236"/>
      <c r="BNW48" s="236"/>
      <c r="BNX48" s="236"/>
      <c r="BNY48" s="236"/>
      <c r="BNZ48" s="236"/>
      <c r="BOA48" s="236"/>
      <c r="BOB48" s="236"/>
    </row>
    <row r="49" spans="1:1744" ht="20.100000000000001" customHeight="1" x14ac:dyDescent="0.25">
      <c r="A49" s="100" t="s">
        <v>19</v>
      </c>
      <c r="B49" s="63" t="str">
        <f>IF(LEN(C83)=0,"",C83)</f>
        <v/>
      </c>
      <c r="C49" s="179"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223"/>
      <c r="YS49" s="223"/>
      <c r="YT49" s="224"/>
      <c r="YU49" s="225"/>
      <c r="YV49" s="224"/>
      <c r="YW49" s="224"/>
      <c r="YX49" s="224"/>
      <c r="YY49" s="224"/>
      <c r="YZ49" s="224"/>
      <c r="ZA49" s="226"/>
      <c r="ZB49" s="224"/>
      <c r="ZC49" s="224"/>
      <c r="ZD49" s="224"/>
      <c r="ZE49" s="224"/>
      <c r="ZF49" s="224"/>
      <c r="ZG49" s="227"/>
      <c r="ZH49" s="224"/>
      <c r="ZI49" s="224"/>
      <c r="ZJ49" s="224"/>
      <c r="ZK49" s="224"/>
      <c r="ZL49" s="224"/>
      <c r="ZM49" s="226"/>
      <c r="ZN49" s="224"/>
      <c r="ZO49" s="224"/>
      <c r="ZP49" s="224"/>
      <c r="ZQ49" s="224"/>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236"/>
      <c r="BLW49" s="236"/>
      <c r="BLX49" s="236"/>
      <c r="BLY49" s="236"/>
      <c r="BLZ49" s="236"/>
      <c r="BMA49" s="236"/>
      <c r="BMB49" s="236"/>
      <c r="BMC49" s="236"/>
      <c r="BMD49" s="236"/>
      <c r="BME49" s="236"/>
      <c r="BMF49" s="236"/>
      <c r="BMG49" s="236"/>
      <c r="BMH49" s="236"/>
      <c r="BMI49" s="236"/>
      <c r="BMJ49" s="236"/>
      <c r="BMK49" s="236"/>
      <c r="BML49" s="236"/>
      <c r="BMM49" s="236"/>
      <c r="BMN49" s="236"/>
      <c r="BMO49" s="236"/>
      <c r="BMP49" s="236"/>
      <c r="BMQ49" s="236"/>
      <c r="BMR49" s="236"/>
      <c r="BMS49" s="236"/>
      <c r="BMT49" s="236"/>
      <c r="BMU49" s="236"/>
      <c r="BMV49" s="236"/>
      <c r="BMW49" s="236"/>
      <c r="BMX49" s="236"/>
      <c r="BMY49" s="236"/>
      <c r="BMZ49" s="236"/>
      <c r="BNA49" s="236"/>
      <c r="BNB49" s="236"/>
      <c r="BNC49" s="236"/>
      <c r="BND49" s="236"/>
      <c r="BNE49" s="236"/>
      <c r="BNF49" s="236"/>
      <c r="BNG49" s="236"/>
      <c r="BNH49" s="236"/>
      <c r="BNI49" s="236"/>
      <c r="BNJ49" s="236"/>
      <c r="BNK49" s="236"/>
      <c r="BNL49" s="236"/>
      <c r="BNM49" s="236"/>
      <c r="BNN49" s="236"/>
      <c r="BNO49" s="236"/>
      <c r="BNP49" s="236"/>
      <c r="BNQ49" s="236"/>
      <c r="BNR49" s="236"/>
      <c r="BNS49" s="236"/>
      <c r="BNT49" s="236"/>
      <c r="BNU49" s="236"/>
      <c r="BNV49" s="236"/>
      <c r="BNW49" s="236"/>
      <c r="BNX49" s="236"/>
      <c r="BNY49" s="236"/>
      <c r="BNZ49" s="236"/>
      <c r="BOA49" s="236"/>
      <c r="BOB49" s="236"/>
    </row>
    <row r="50" spans="1:1744" ht="20.100000000000001" customHeight="1" x14ac:dyDescent="0.3">
      <c r="A50" s="100" t="s">
        <v>20</v>
      </c>
      <c r="B50" s="63" t="str">
        <f>IF(LEN(C85)=0,"",C85)</f>
        <v/>
      </c>
      <c r="C50" s="18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236"/>
      <c r="BLW50" s="236"/>
      <c r="BLX50" s="236"/>
      <c r="BLY50" s="236"/>
      <c r="BLZ50" s="236"/>
      <c r="BMA50" s="236"/>
      <c r="BMB50" s="236"/>
      <c r="BMC50" s="236"/>
      <c r="BMD50" s="236"/>
      <c r="BME50" s="236"/>
      <c r="BMF50" s="236"/>
      <c r="BMG50" s="236"/>
      <c r="BMH50" s="236"/>
      <c r="BMI50" s="236"/>
      <c r="BMJ50" s="236"/>
      <c r="BMK50" s="236"/>
      <c r="BML50" s="236"/>
      <c r="BMM50" s="236"/>
      <c r="BMN50" s="236"/>
      <c r="BMO50" s="236"/>
      <c r="BMP50" s="236"/>
      <c r="BMQ50" s="236"/>
      <c r="BMR50" s="236"/>
      <c r="BMS50" s="236"/>
      <c r="BMT50" s="236"/>
      <c r="BMU50" s="236"/>
      <c r="BMV50" s="236"/>
      <c r="BMW50" s="236"/>
      <c r="BMX50" s="236"/>
      <c r="BMY50" s="236"/>
      <c r="BMZ50" s="236"/>
      <c r="BNA50" s="236"/>
      <c r="BNB50" s="236"/>
      <c r="BNC50" s="236"/>
      <c r="BND50" s="236"/>
      <c r="BNE50" s="236"/>
      <c r="BNF50" s="236"/>
      <c r="BNG50" s="236"/>
      <c r="BNH50" s="236"/>
      <c r="BNI50" s="236"/>
      <c r="BNJ50" s="236"/>
      <c r="BNK50" s="236"/>
      <c r="BNL50" s="236"/>
      <c r="BNM50" s="236"/>
      <c r="BNN50" s="236"/>
      <c r="BNO50" s="236"/>
      <c r="BNP50" s="236"/>
      <c r="BNQ50" s="236"/>
      <c r="BNR50" s="236"/>
      <c r="BNS50" s="236"/>
      <c r="BNT50" s="236"/>
      <c r="BNU50" s="236"/>
      <c r="BNV50" s="236"/>
      <c r="BNW50" s="236"/>
      <c r="BNX50" s="236"/>
      <c r="BNY50" s="236"/>
      <c r="BNZ50" s="236"/>
      <c r="BOA50" s="236"/>
      <c r="BOB50" s="236"/>
    </row>
    <row r="51" spans="1:1744" ht="20.100000000000001" customHeight="1" x14ac:dyDescent="0.25">
      <c r="A51" s="100" t="s">
        <v>19</v>
      </c>
      <c r="B51" s="63" t="str">
        <f>IF(LEN(C87)=0,"",C87)</f>
        <v/>
      </c>
      <c r="C51" s="179"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216"/>
      <c r="AAY51" s="217"/>
      <c r="AAZ51" s="217"/>
      <c r="ABA51" s="217"/>
      <c r="ABB51" s="218"/>
      <c r="ABC51" s="219"/>
      <c r="ABD51" s="218"/>
      <c r="ABE51" s="218"/>
      <c r="ABF51" s="218"/>
      <c r="ABG51" s="218"/>
      <c r="ABH51" s="218"/>
      <c r="ABI51" s="220"/>
      <c r="ABJ51" s="218"/>
      <c r="ABK51" s="218"/>
      <c r="ABL51" s="218"/>
      <c r="ABM51" s="218"/>
      <c r="ABN51" s="218"/>
      <c r="ABO51" s="221"/>
      <c r="ABP51" s="218"/>
      <c r="ABQ51" s="218"/>
      <c r="ABR51" s="218"/>
      <c r="ABS51" s="218"/>
      <c r="ABT51" s="218"/>
      <c r="ABU51" s="220"/>
      <c r="ABV51" s="218"/>
      <c r="ABW51" s="218"/>
      <c r="ABX51" s="218"/>
      <c r="ABY51" s="218"/>
      <c r="ABZ51" s="218"/>
      <c r="ACA51" s="221"/>
      <c r="ACB51" s="217"/>
      <c r="ACC51" s="217"/>
      <c r="ACD51" s="217"/>
      <c r="ACE51" s="217"/>
      <c r="ACF51" s="218"/>
      <c r="ACG51" s="220"/>
      <c r="ACH51" s="218"/>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236"/>
      <c r="BLW51" s="236"/>
      <c r="BLX51" s="236"/>
      <c r="BLY51" s="236"/>
      <c r="BLZ51" s="236"/>
      <c r="BMA51" s="236"/>
      <c r="BMB51" s="236"/>
      <c r="BMC51" s="236"/>
      <c r="BMD51" s="236"/>
      <c r="BME51" s="236"/>
      <c r="BMF51" s="236"/>
      <c r="BMG51" s="236"/>
      <c r="BMH51" s="236"/>
      <c r="BMI51" s="236"/>
      <c r="BMJ51" s="236"/>
      <c r="BMK51" s="236"/>
      <c r="BML51" s="236"/>
      <c r="BMM51" s="236"/>
      <c r="BMN51" s="236"/>
      <c r="BMO51" s="236"/>
      <c r="BMP51" s="236"/>
      <c r="BMQ51" s="236"/>
      <c r="BMR51" s="236"/>
      <c r="BMS51" s="236"/>
      <c r="BMT51" s="236"/>
      <c r="BMU51" s="236"/>
      <c r="BMV51" s="236"/>
      <c r="BMW51" s="236"/>
      <c r="BMX51" s="236"/>
      <c r="BMY51" s="236"/>
      <c r="BMZ51" s="236"/>
      <c r="BNA51" s="236"/>
      <c r="BNB51" s="236"/>
      <c r="BNC51" s="236"/>
      <c r="BND51" s="236"/>
      <c r="BNE51" s="236"/>
      <c r="BNF51" s="236"/>
      <c r="BNG51" s="236"/>
      <c r="BNH51" s="236"/>
      <c r="BNI51" s="236"/>
      <c r="BNJ51" s="236"/>
      <c r="BNK51" s="236"/>
      <c r="BNL51" s="236"/>
      <c r="BNM51" s="236"/>
      <c r="BNN51" s="236"/>
      <c r="BNO51" s="236"/>
      <c r="BNP51" s="236"/>
      <c r="BNQ51" s="236"/>
      <c r="BNR51" s="236"/>
      <c r="BNS51" s="236"/>
      <c r="BNT51" s="236"/>
      <c r="BNU51" s="236"/>
      <c r="BNV51" s="236"/>
      <c r="BNW51" s="236"/>
      <c r="BNX51" s="236"/>
      <c r="BNY51" s="236"/>
      <c r="BNZ51" s="236"/>
      <c r="BOA51" s="236"/>
      <c r="BOB51" s="236"/>
    </row>
    <row r="52" spans="1:1744" ht="20.100000000000001" customHeight="1" x14ac:dyDescent="0.25">
      <c r="A52" s="100" t="s">
        <v>20</v>
      </c>
      <c r="B52" s="63" t="str">
        <f>IF(LEN(C89)=0,"",C89)</f>
        <v/>
      </c>
      <c r="C52" s="18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36"/>
      <c r="BLW52" s="236"/>
      <c r="BLX52" s="236"/>
      <c r="BLY52" s="236"/>
      <c r="BLZ52" s="236"/>
      <c r="BMA52" s="236"/>
      <c r="BMB52" s="236"/>
      <c r="BMC52" s="236"/>
      <c r="BMD52" s="236"/>
      <c r="BME52" s="236"/>
      <c r="BMF52" s="236"/>
      <c r="BMG52" s="236"/>
      <c r="BMH52" s="236"/>
      <c r="BMI52" s="236"/>
      <c r="BMJ52" s="236"/>
      <c r="BMK52" s="236"/>
      <c r="BML52" s="236"/>
      <c r="BMM52" s="236"/>
      <c r="BMN52" s="236"/>
      <c r="BMO52" s="236"/>
      <c r="BMP52" s="236"/>
      <c r="BMQ52" s="236"/>
      <c r="BMR52" s="236"/>
      <c r="BMS52" s="236"/>
      <c r="BMT52" s="236"/>
      <c r="BMU52" s="236"/>
      <c r="BMV52" s="236"/>
      <c r="BMW52" s="236"/>
      <c r="BMX52" s="236"/>
      <c r="BMY52" s="236"/>
      <c r="BMZ52" s="236"/>
      <c r="BNA52" s="236"/>
      <c r="BNB52" s="236"/>
      <c r="BNC52" s="236"/>
      <c r="BND52" s="236"/>
      <c r="BNE52" s="236"/>
      <c r="BNF52" s="236"/>
      <c r="BNG52" s="236"/>
      <c r="BNH52" s="236"/>
      <c r="BNI52" s="236"/>
      <c r="BNJ52" s="236"/>
      <c r="BNK52" s="236"/>
      <c r="BNL52" s="236"/>
      <c r="BNM52" s="236"/>
      <c r="BNN52" s="236"/>
      <c r="BNO52" s="236"/>
      <c r="BNP52" s="236"/>
      <c r="BNQ52" s="236"/>
      <c r="BNR52" s="236"/>
      <c r="BNS52" s="236"/>
      <c r="BNT52" s="236"/>
      <c r="BNU52" s="236"/>
      <c r="BNV52" s="236"/>
      <c r="BNW52" s="236"/>
      <c r="BNX52" s="236"/>
      <c r="BNY52" s="236"/>
      <c r="BNZ52" s="236"/>
      <c r="BOA52" s="236"/>
      <c r="BOB52" s="236"/>
    </row>
    <row r="53" spans="1:1744" ht="20.100000000000001" customHeight="1" x14ac:dyDescent="0.25">
      <c r="A53" s="100" t="s">
        <v>19</v>
      </c>
      <c r="B53" s="63" t="str">
        <f>IF(LEN(C91)=0,"",C91)</f>
        <v/>
      </c>
      <c r="C53" s="179"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222"/>
      <c r="ADG53" s="223"/>
      <c r="ADH53" s="223"/>
      <c r="ADI53" s="223"/>
      <c r="ADJ53" s="224"/>
      <c r="ADK53" s="225"/>
      <c r="ADL53" s="224"/>
      <c r="ADM53" s="224"/>
      <c r="ADN53" s="224"/>
      <c r="ADO53" s="224"/>
      <c r="ADP53" s="224"/>
      <c r="ADQ53" s="226"/>
      <c r="ADR53" s="224"/>
      <c r="ADS53" s="224"/>
      <c r="ADT53" s="224"/>
      <c r="ADU53" s="224"/>
      <c r="ADV53" s="224"/>
      <c r="ADW53" s="227"/>
      <c r="ADX53" s="224"/>
      <c r="ADY53" s="224"/>
      <c r="ADZ53" s="224"/>
      <c r="AEA53" s="224"/>
      <c r="AEB53" s="224"/>
      <c r="AEC53" s="226"/>
      <c r="AED53" s="224"/>
      <c r="AEE53" s="224"/>
      <c r="AEF53" s="224"/>
      <c r="AEG53" s="224"/>
      <c r="AEH53" s="224"/>
      <c r="AEI53" s="227"/>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236"/>
      <c r="BLW53" s="236"/>
      <c r="BLX53" s="236"/>
      <c r="BLY53" s="236"/>
      <c r="BLZ53" s="236"/>
      <c r="BMA53" s="236"/>
      <c r="BMB53" s="236"/>
      <c r="BMC53" s="236"/>
      <c r="BMD53" s="236"/>
      <c r="BME53" s="236"/>
      <c r="BMF53" s="236"/>
      <c r="BMG53" s="236"/>
      <c r="BMH53" s="236"/>
      <c r="BMI53" s="236"/>
      <c r="BMJ53" s="236"/>
      <c r="BMK53" s="236"/>
      <c r="BML53" s="236"/>
      <c r="BMM53" s="236"/>
      <c r="BMN53" s="236"/>
      <c r="BMO53" s="236"/>
      <c r="BMP53" s="236"/>
      <c r="BMQ53" s="236"/>
      <c r="BMR53" s="236"/>
      <c r="BMS53" s="236"/>
      <c r="BMT53" s="236"/>
      <c r="BMU53" s="236"/>
      <c r="BMV53" s="236"/>
      <c r="BMW53" s="236"/>
      <c r="BMX53" s="236"/>
      <c r="BMY53" s="236"/>
      <c r="BMZ53" s="236"/>
      <c r="BNA53" s="236"/>
      <c r="BNB53" s="236"/>
      <c r="BNC53" s="236"/>
      <c r="BND53" s="236"/>
      <c r="BNE53" s="236"/>
      <c r="BNF53" s="236"/>
      <c r="BNG53" s="236"/>
      <c r="BNH53" s="236"/>
      <c r="BNI53" s="236"/>
      <c r="BNJ53" s="236"/>
      <c r="BNK53" s="236"/>
      <c r="BNL53" s="236"/>
      <c r="BNM53" s="236"/>
      <c r="BNN53" s="236"/>
      <c r="BNO53" s="236"/>
      <c r="BNP53" s="236"/>
      <c r="BNQ53" s="236"/>
      <c r="BNR53" s="236"/>
      <c r="BNS53" s="236"/>
      <c r="BNT53" s="236"/>
      <c r="BNU53" s="236"/>
      <c r="BNV53" s="236"/>
      <c r="BNW53" s="236"/>
      <c r="BNX53" s="236"/>
      <c r="BNY53" s="236"/>
      <c r="BNZ53" s="236"/>
      <c r="BOA53" s="236"/>
      <c r="BOB53" s="236"/>
    </row>
    <row r="54" spans="1:1744" ht="20.100000000000001" customHeight="1" x14ac:dyDescent="0.3">
      <c r="A54" s="100" t="s">
        <v>20</v>
      </c>
      <c r="B54" s="63" t="str">
        <f>IF(LEN(C93)=0,"",C93)</f>
        <v/>
      </c>
      <c r="C54" s="18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236"/>
      <c r="BLW54" s="236"/>
      <c r="BLX54" s="236"/>
      <c r="BLY54" s="236"/>
      <c r="BLZ54" s="236"/>
      <c r="BMA54" s="236"/>
      <c r="BMB54" s="236"/>
      <c r="BMC54" s="236"/>
      <c r="BMD54" s="236"/>
      <c r="BME54" s="236"/>
      <c r="BMF54" s="236"/>
      <c r="BMG54" s="236"/>
      <c r="BMH54" s="236"/>
      <c r="BMI54" s="236"/>
      <c r="BMJ54" s="236"/>
      <c r="BMK54" s="236"/>
      <c r="BML54" s="236"/>
      <c r="BMM54" s="236"/>
      <c r="BMN54" s="236"/>
      <c r="BMO54" s="236"/>
      <c r="BMP54" s="236"/>
      <c r="BMQ54" s="236"/>
      <c r="BMR54" s="236"/>
      <c r="BMS54" s="236"/>
      <c r="BMT54" s="236"/>
      <c r="BMU54" s="236"/>
      <c r="BMV54" s="236"/>
      <c r="BMW54" s="236"/>
      <c r="BMX54" s="236"/>
      <c r="BMY54" s="236"/>
      <c r="BMZ54" s="236"/>
      <c r="BNA54" s="236"/>
      <c r="BNB54" s="236"/>
      <c r="BNC54" s="236"/>
      <c r="BND54" s="236"/>
      <c r="BNE54" s="236"/>
      <c r="BNF54" s="236"/>
      <c r="BNG54" s="236"/>
      <c r="BNH54" s="236"/>
      <c r="BNI54" s="236"/>
      <c r="BNJ54" s="236"/>
      <c r="BNK54" s="236"/>
      <c r="BNL54" s="236"/>
      <c r="BNM54" s="236"/>
      <c r="BNN54" s="236"/>
      <c r="BNO54" s="236"/>
      <c r="BNP54" s="236"/>
      <c r="BNQ54" s="236"/>
      <c r="BNR54" s="236"/>
      <c r="BNS54" s="236"/>
      <c r="BNT54" s="236"/>
      <c r="BNU54" s="236"/>
      <c r="BNV54" s="236"/>
      <c r="BNW54" s="236"/>
      <c r="BNX54" s="236"/>
      <c r="BNY54" s="236"/>
      <c r="BNZ54" s="236"/>
      <c r="BOA54" s="236"/>
      <c r="BOB54" s="236"/>
    </row>
    <row r="55" spans="1:1744" ht="20.100000000000001" customHeight="1" x14ac:dyDescent="0.25">
      <c r="A55" s="100" t="s">
        <v>19</v>
      </c>
      <c r="B55" s="63"/>
      <c r="C55" s="179"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216"/>
      <c r="AFO55" s="217"/>
      <c r="AFP55" s="217"/>
      <c r="AFQ55" s="217"/>
      <c r="AFR55" s="218"/>
      <c r="AFS55" s="219"/>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236"/>
      <c r="BLW55" s="236"/>
      <c r="BLX55" s="236"/>
      <c r="BLY55" s="236"/>
      <c r="BLZ55" s="236"/>
      <c r="BMA55" s="236"/>
      <c r="BMB55" s="236"/>
      <c r="BMC55" s="236"/>
      <c r="BMD55" s="236"/>
      <c r="BME55" s="236"/>
      <c r="BMF55" s="236"/>
      <c r="BMG55" s="236"/>
      <c r="BMH55" s="236"/>
      <c r="BMI55" s="236"/>
      <c r="BMJ55" s="236"/>
      <c r="BMK55" s="236"/>
      <c r="BML55" s="236"/>
      <c r="BMM55" s="236"/>
      <c r="BMN55" s="236"/>
      <c r="BMO55" s="236"/>
      <c r="BMP55" s="236"/>
      <c r="BMQ55" s="236"/>
      <c r="BMR55" s="236"/>
      <c r="BMS55" s="236"/>
      <c r="BMT55" s="236"/>
      <c r="BMU55" s="236"/>
      <c r="BMV55" s="236"/>
      <c r="BMW55" s="236"/>
      <c r="BMX55" s="236"/>
      <c r="BMY55" s="236"/>
      <c r="BMZ55" s="236"/>
      <c r="BNA55" s="236"/>
      <c r="BNB55" s="236"/>
      <c r="BNC55" s="236"/>
      <c r="BND55" s="236"/>
      <c r="BNE55" s="236"/>
      <c r="BNF55" s="236"/>
      <c r="BNG55" s="236"/>
      <c r="BNH55" s="236"/>
      <c r="BNI55" s="236"/>
      <c r="BNJ55" s="236"/>
      <c r="BNK55" s="236"/>
      <c r="BNL55" s="236"/>
      <c r="BNM55" s="236"/>
      <c r="BNN55" s="236"/>
      <c r="BNO55" s="236"/>
      <c r="BNP55" s="236"/>
      <c r="BNQ55" s="236"/>
      <c r="BNR55" s="236"/>
      <c r="BNS55" s="236"/>
      <c r="BNT55" s="236"/>
      <c r="BNU55" s="236"/>
      <c r="BNV55" s="236"/>
      <c r="BNW55" s="236"/>
      <c r="BNX55" s="236"/>
      <c r="BNY55" s="236"/>
      <c r="BNZ55" s="236"/>
      <c r="BOA55" s="236"/>
      <c r="BOB55" s="236"/>
    </row>
    <row r="56" spans="1:1744" ht="20.100000000000001" customHeight="1" x14ac:dyDescent="0.25">
      <c r="A56" s="100" t="s">
        <v>20</v>
      </c>
      <c r="B56" s="63"/>
      <c r="C56" s="18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36"/>
      <c r="BLW56" s="236"/>
      <c r="BLX56" s="236"/>
      <c r="BLY56" s="236"/>
      <c r="BLZ56" s="236"/>
      <c r="BMA56" s="236"/>
      <c r="BMB56" s="236"/>
      <c r="BMC56" s="236"/>
      <c r="BMD56" s="236"/>
      <c r="BME56" s="236"/>
      <c r="BMF56" s="236"/>
      <c r="BMG56" s="236"/>
      <c r="BMH56" s="236"/>
      <c r="BMI56" s="236"/>
      <c r="BMJ56" s="236"/>
      <c r="BMK56" s="236"/>
      <c r="BML56" s="236"/>
      <c r="BMM56" s="236"/>
      <c r="BMN56" s="236"/>
      <c r="BMO56" s="236"/>
      <c r="BMP56" s="236"/>
      <c r="BMQ56" s="236"/>
      <c r="BMR56" s="236"/>
      <c r="BMS56" s="236"/>
      <c r="BMT56" s="236"/>
      <c r="BMU56" s="236"/>
      <c r="BMV56" s="236"/>
      <c r="BMW56" s="236"/>
      <c r="BMX56" s="236"/>
      <c r="BMY56" s="236"/>
      <c r="BMZ56" s="236"/>
      <c r="BNA56" s="236"/>
      <c r="BNB56" s="236"/>
      <c r="BNC56" s="236"/>
      <c r="BND56" s="236"/>
      <c r="BNE56" s="236"/>
      <c r="BNF56" s="236"/>
      <c r="BNG56" s="236"/>
      <c r="BNH56" s="236"/>
      <c r="BNI56" s="236"/>
      <c r="BNJ56" s="236"/>
      <c r="BNK56" s="236"/>
      <c r="BNL56" s="236"/>
      <c r="BNM56" s="236"/>
      <c r="BNN56" s="236"/>
      <c r="BNO56" s="236"/>
      <c r="BNP56" s="236"/>
      <c r="BNQ56" s="236"/>
      <c r="BNR56" s="236"/>
      <c r="BNS56" s="236"/>
      <c r="BNT56" s="236"/>
      <c r="BNU56" s="236"/>
      <c r="BNV56" s="236"/>
      <c r="BNW56" s="236"/>
      <c r="BNX56" s="236"/>
      <c r="BNY56" s="236"/>
      <c r="BNZ56" s="236"/>
      <c r="BOA56" s="236"/>
      <c r="BOB56" s="236"/>
    </row>
    <row r="57" spans="1:1744" ht="20.100000000000001" customHeight="1" x14ac:dyDescent="0.25">
      <c r="A57" s="100" t="s">
        <v>19</v>
      </c>
      <c r="B57" s="63"/>
      <c r="C57" s="179"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224"/>
      <c r="AFU57" s="224"/>
      <c r="AFV57" s="224"/>
      <c r="AFW57" s="224"/>
      <c r="AFX57" s="224"/>
      <c r="AFY57" s="226"/>
      <c r="AFZ57" s="224"/>
      <c r="AGA57" s="224"/>
      <c r="AGB57" s="224"/>
      <c r="AGC57" s="224"/>
      <c r="AGD57" s="224"/>
      <c r="AGE57" s="227"/>
      <c r="AGF57" s="224"/>
      <c r="AGG57" s="224"/>
      <c r="AGH57" s="224"/>
      <c r="AGI57" s="224"/>
      <c r="AGJ57" s="224"/>
      <c r="AGK57" s="226"/>
      <c r="AGL57" s="224"/>
      <c r="AGM57" s="224"/>
      <c r="AGN57" s="224"/>
      <c r="AGO57" s="224"/>
      <c r="AGP57" s="224"/>
      <c r="AGQ57" s="227"/>
      <c r="AGR57" s="223"/>
      <c r="AGS57" s="223"/>
      <c r="AGT57" s="223"/>
      <c r="AGU57" s="223"/>
      <c r="AGV57" s="224"/>
      <c r="AGW57" s="226"/>
      <c r="AGX57" s="224"/>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236"/>
      <c r="BLW57" s="236"/>
      <c r="BLX57" s="236"/>
      <c r="BLY57" s="236"/>
      <c r="BLZ57" s="236"/>
      <c r="BMA57" s="236"/>
      <c r="BMB57" s="236"/>
      <c r="BMC57" s="236"/>
      <c r="BMD57" s="236"/>
      <c r="BME57" s="236"/>
      <c r="BMF57" s="236"/>
      <c r="BMG57" s="236"/>
      <c r="BMH57" s="236"/>
      <c r="BMI57" s="236"/>
      <c r="BMJ57" s="236"/>
      <c r="BMK57" s="236"/>
      <c r="BML57" s="236"/>
      <c r="BMM57" s="236"/>
      <c r="BMN57" s="236"/>
      <c r="BMO57" s="236"/>
      <c r="BMP57" s="236"/>
      <c r="BMQ57" s="236"/>
      <c r="BMR57" s="236"/>
      <c r="BMS57" s="236"/>
      <c r="BMT57" s="236"/>
      <c r="BMU57" s="236"/>
      <c r="BMV57" s="236"/>
      <c r="BMW57" s="236"/>
      <c r="BMX57" s="236"/>
      <c r="BMY57" s="236"/>
      <c r="BMZ57" s="236"/>
      <c r="BNA57" s="236"/>
      <c r="BNB57" s="236"/>
      <c r="BNC57" s="236"/>
      <c r="BND57" s="236"/>
      <c r="BNE57" s="236"/>
      <c r="BNF57" s="236"/>
      <c r="BNG57" s="236"/>
      <c r="BNH57" s="236"/>
      <c r="BNI57" s="236"/>
      <c r="BNJ57" s="236"/>
      <c r="BNK57" s="236"/>
      <c r="BNL57" s="236"/>
      <c r="BNM57" s="236"/>
      <c r="BNN57" s="236"/>
      <c r="BNO57" s="236"/>
      <c r="BNP57" s="236"/>
      <c r="BNQ57" s="236"/>
      <c r="BNR57" s="236"/>
      <c r="BNS57" s="236"/>
      <c r="BNT57" s="236"/>
      <c r="BNU57" s="236"/>
      <c r="BNV57" s="236"/>
      <c r="BNW57" s="236"/>
      <c r="BNX57" s="236"/>
      <c r="BNY57" s="236"/>
      <c r="BNZ57" s="236"/>
      <c r="BOA57" s="236"/>
      <c r="BOB57" s="236"/>
    </row>
    <row r="58" spans="1:1744" ht="20.100000000000001" customHeight="1" x14ac:dyDescent="0.3">
      <c r="A58" s="100" t="s">
        <v>20</v>
      </c>
      <c r="B58" s="63"/>
      <c r="C58" s="18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236"/>
      <c r="BLW58" s="236"/>
      <c r="BLX58" s="236"/>
      <c r="BLY58" s="236"/>
      <c r="BLZ58" s="236"/>
      <c r="BMA58" s="236"/>
      <c r="BMB58" s="236"/>
      <c r="BMC58" s="236"/>
      <c r="BMD58" s="236"/>
      <c r="BME58" s="236"/>
      <c r="BMF58" s="236"/>
      <c r="BMG58" s="236"/>
      <c r="BMH58" s="236"/>
      <c r="BMI58" s="236"/>
      <c r="BMJ58" s="236"/>
      <c r="BMK58" s="236"/>
      <c r="BML58" s="236"/>
      <c r="BMM58" s="236"/>
      <c r="BMN58" s="236"/>
      <c r="BMO58" s="236"/>
      <c r="BMP58" s="236"/>
      <c r="BMQ58" s="236"/>
      <c r="BMR58" s="236"/>
      <c r="BMS58" s="236"/>
      <c r="BMT58" s="236"/>
      <c r="BMU58" s="236"/>
      <c r="BMV58" s="236"/>
      <c r="BMW58" s="236"/>
      <c r="BMX58" s="236"/>
      <c r="BMY58" s="236"/>
      <c r="BMZ58" s="236"/>
      <c r="BNA58" s="236"/>
      <c r="BNB58" s="236"/>
      <c r="BNC58" s="236"/>
      <c r="BND58" s="236"/>
      <c r="BNE58" s="236"/>
      <c r="BNF58" s="236"/>
      <c r="BNG58" s="236"/>
      <c r="BNH58" s="236"/>
      <c r="BNI58" s="236"/>
      <c r="BNJ58" s="236"/>
      <c r="BNK58" s="236"/>
      <c r="BNL58" s="236"/>
      <c r="BNM58" s="236"/>
      <c r="BNN58" s="236"/>
      <c r="BNO58" s="236"/>
      <c r="BNP58" s="236"/>
      <c r="BNQ58" s="236"/>
      <c r="BNR58" s="236"/>
      <c r="BNS58" s="236"/>
      <c r="BNT58" s="236"/>
      <c r="BNU58" s="236"/>
      <c r="BNV58" s="236"/>
      <c r="BNW58" s="236"/>
      <c r="BNX58" s="236"/>
      <c r="BNY58" s="236"/>
      <c r="BNZ58" s="236"/>
      <c r="BOA58" s="236"/>
      <c r="BOB58" s="236"/>
    </row>
    <row r="59" spans="1:1744" ht="20.100000000000001" customHeight="1" x14ac:dyDescent="0.25">
      <c r="A59" s="100" t="s">
        <v>19</v>
      </c>
      <c r="B59" s="63"/>
      <c r="C59" s="179"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218"/>
      <c r="AIL59" s="218"/>
      <c r="AIM59" s="221"/>
      <c r="AIN59" s="218"/>
      <c r="AIO59" s="218"/>
      <c r="AIP59" s="218"/>
      <c r="AIQ59" s="218"/>
      <c r="AIR59" s="218"/>
      <c r="AIS59" s="220"/>
      <c r="AIT59" s="218"/>
      <c r="AIU59" s="218"/>
      <c r="AIV59" s="218"/>
      <c r="AIW59" s="218"/>
      <c r="AIX59" s="218"/>
      <c r="AIY59" s="221"/>
      <c r="AIZ59" s="217"/>
      <c r="AJA59" s="217"/>
      <c r="AJB59" s="217"/>
      <c r="AJC59" s="217"/>
      <c r="AJD59" s="218"/>
      <c r="AJE59" s="220"/>
      <c r="AJF59" s="218"/>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236"/>
      <c r="BLW59" s="236"/>
      <c r="BLX59" s="236"/>
      <c r="BLY59" s="236"/>
      <c r="BLZ59" s="236"/>
      <c r="BMA59" s="236"/>
      <c r="BMB59" s="236"/>
      <c r="BMC59" s="236"/>
      <c r="BMD59" s="236"/>
      <c r="BME59" s="236"/>
      <c r="BMF59" s="236"/>
      <c r="BMG59" s="236"/>
      <c r="BMH59" s="236"/>
      <c r="BMI59" s="236"/>
      <c r="BMJ59" s="236"/>
      <c r="BMK59" s="236"/>
      <c r="BML59" s="236"/>
      <c r="BMM59" s="236"/>
      <c r="BMN59" s="236"/>
      <c r="BMO59" s="236"/>
      <c r="BMP59" s="236"/>
      <c r="BMQ59" s="236"/>
      <c r="BMR59" s="236"/>
      <c r="BMS59" s="236"/>
      <c r="BMT59" s="236"/>
      <c r="BMU59" s="236"/>
      <c r="BMV59" s="236"/>
      <c r="BMW59" s="236"/>
      <c r="BMX59" s="236"/>
      <c r="BMY59" s="236"/>
      <c r="BMZ59" s="236"/>
      <c r="BNA59" s="236"/>
      <c r="BNB59" s="236"/>
      <c r="BNC59" s="236"/>
      <c r="BND59" s="236"/>
      <c r="BNE59" s="236"/>
      <c r="BNF59" s="236"/>
      <c r="BNG59" s="236"/>
      <c r="BNH59" s="236"/>
      <c r="BNI59" s="236"/>
      <c r="BNJ59" s="236"/>
      <c r="BNK59" s="236"/>
      <c r="BNL59" s="236"/>
      <c r="BNM59" s="236"/>
      <c r="BNN59" s="236"/>
      <c r="BNO59" s="236"/>
      <c r="BNP59" s="236"/>
      <c r="BNQ59" s="236"/>
      <c r="BNR59" s="236"/>
      <c r="BNS59" s="236"/>
      <c r="BNT59" s="236"/>
      <c r="BNU59" s="236"/>
      <c r="BNV59" s="236"/>
      <c r="BNW59" s="236"/>
      <c r="BNX59" s="236"/>
      <c r="BNY59" s="236"/>
      <c r="BNZ59" s="236"/>
      <c r="BOA59" s="236"/>
      <c r="BOB59" s="236"/>
    </row>
    <row r="60" spans="1:1744" ht="20.100000000000001" customHeight="1" x14ac:dyDescent="0.3">
      <c r="A60" s="100" t="s">
        <v>20</v>
      </c>
      <c r="B60" s="63"/>
      <c r="C60" s="18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36"/>
      <c r="BLW60" s="236"/>
      <c r="BLX60" s="236"/>
      <c r="BLY60" s="236"/>
      <c r="BLZ60" s="236"/>
      <c r="BMA60" s="236"/>
      <c r="BMB60" s="236"/>
      <c r="BMC60" s="236"/>
      <c r="BMD60" s="236"/>
      <c r="BME60" s="236"/>
      <c r="BMF60" s="236"/>
      <c r="BMG60" s="236"/>
      <c r="BMH60" s="236"/>
      <c r="BMI60" s="236"/>
      <c r="BMJ60" s="236"/>
      <c r="BMK60" s="236"/>
      <c r="BML60" s="236"/>
      <c r="BMM60" s="236"/>
      <c r="BMN60" s="236"/>
      <c r="BMO60" s="236"/>
      <c r="BMP60" s="236"/>
      <c r="BMQ60" s="236"/>
      <c r="BMR60" s="236"/>
      <c r="BMS60" s="236"/>
      <c r="BMT60" s="236"/>
      <c r="BMU60" s="236"/>
      <c r="BMV60" s="236"/>
      <c r="BMW60" s="236"/>
      <c r="BMX60" s="236"/>
      <c r="BMY60" s="236"/>
      <c r="BMZ60" s="236"/>
      <c r="BNA60" s="236"/>
      <c r="BNB60" s="236"/>
      <c r="BNC60" s="236"/>
      <c r="BND60" s="236"/>
      <c r="BNE60" s="236"/>
      <c r="BNF60" s="236"/>
      <c r="BNG60" s="236"/>
      <c r="BNH60" s="236"/>
      <c r="BNI60" s="236"/>
      <c r="BNJ60" s="236"/>
      <c r="BNK60" s="236"/>
      <c r="BNL60" s="236"/>
      <c r="BNM60" s="236"/>
      <c r="BNN60" s="236"/>
      <c r="BNO60" s="236"/>
      <c r="BNP60" s="236"/>
      <c r="BNQ60" s="236"/>
      <c r="BNR60" s="236"/>
      <c r="BNS60" s="236"/>
      <c r="BNT60" s="236"/>
      <c r="BNU60" s="236"/>
      <c r="BNV60" s="236"/>
      <c r="BNW60" s="236"/>
      <c r="BNX60" s="236"/>
      <c r="BNY60" s="236"/>
      <c r="BNZ60" s="236"/>
      <c r="BOA60" s="236"/>
      <c r="BOB60" s="236"/>
    </row>
    <row r="61" spans="1:1744" ht="20.100000000000001" customHeight="1" x14ac:dyDescent="0.25">
      <c r="A61" s="100" t="s">
        <v>19</v>
      </c>
      <c r="B61" s="63"/>
      <c r="C61" s="179"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227"/>
      <c r="AKV61" s="224"/>
      <c r="AKW61" s="224"/>
      <c r="AKX61" s="224"/>
      <c r="AKY61" s="224"/>
      <c r="AKZ61" s="224"/>
      <c r="ALA61" s="226"/>
      <c r="ALB61" s="224"/>
      <c r="ALC61" s="224"/>
      <c r="ALD61" s="224"/>
      <c r="ALE61" s="224"/>
      <c r="ALF61" s="224"/>
      <c r="ALG61" s="227"/>
      <c r="ALH61" s="223"/>
      <c r="ALI61" s="223"/>
      <c r="ALJ61" s="223"/>
      <c r="ALK61" s="223"/>
      <c r="ALL61" s="224"/>
      <c r="ALM61" s="226"/>
      <c r="ALN61" s="224"/>
      <c r="ALO61" s="224"/>
      <c r="ALP61" s="224"/>
      <c r="ALQ61" s="224"/>
      <c r="ALR61" s="224"/>
      <c r="ALS61" s="227"/>
      <c r="ALT61" s="224"/>
      <c r="ALU61" s="224"/>
      <c r="ALV61" s="224"/>
      <c r="ALW61" s="224"/>
      <c r="ALX61" s="224"/>
      <c r="ALY61" s="137"/>
      <c r="ALZ61" s="33"/>
      <c r="AMA61" s="33"/>
      <c r="AMB61" s="33"/>
      <c r="AMC61" s="33"/>
      <c r="AMD61" s="33"/>
      <c r="AME61" s="74"/>
      <c r="AMF61" s="33"/>
      <c r="AMG61" s="33"/>
      <c r="AMH61" s="33"/>
      <c r="AMI61" s="33"/>
      <c r="AMJ61" s="33"/>
      <c r="AMK61" s="34"/>
      <c r="AML61" s="222"/>
      <c r="AMM61" s="223"/>
      <c r="AMN61" s="223"/>
      <c r="AMO61" s="223"/>
      <c r="AMP61" s="224"/>
      <c r="AMQ61" s="225"/>
      <c r="AMR61" s="224"/>
      <c r="AMS61" s="224"/>
      <c r="AMT61" s="224"/>
      <c r="AMU61" s="224"/>
      <c r="AMV61" s="224"/>
      <c r="AMW61" s="226"/>
      <c r="AMX61" s="224"/>
      <c r="AMY61" s="224"/>
      <c r="AMZ61" s="224"/>
      <c r="ANA61" s="224"/>
      <c r="ANB61" s="224"/>
      <c r="ANC61" s="227"/>
      <c r="AND61" s="224"/>
      <c r="ANE61" s="224"/>
      <c r="ANF61" s="224"/>
      <c r="ANG61" s="224"/>
      <c r="ANH61" s="224"/>
      <c r="ANI61" s="226"/>
      <c r="ANJ61" s="224"/>
      <c r="ANK61" s="224"/>
      <c r="ANL61" s="224"/>
      <c r="ANM61" s="224"/>
      <c r="ANN61" s="224"/>
      <c r="ANO61" s="227"/>
      <c r="ANP61" s="223"/>
      <c r="ANQ61" s="223"/>
      <c r="ANR61" s="223"/>
      <c r="ANS61" s="223"/>
      <c r="ANT61" s="224"/>
      <c r="ANU61" s="226"/>
      <c r="ANV61" s="224"/>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236"/>
      <c r="BLW61" s="236"/>
      <c r="BLX61" s="236"/>
      <c r="BLY61" s="236"/>
      <c r="BLZ61" s="236"/>
      <c r="BMA61" s="236"/>
      <c r="BMB61" s="236"/>
      <c r="BMC61" s="236"/>
      <c r="BMD61" s="236"/>
      <c r="BME61" s="236"/>
      <c r="BMF61" s="236"/>
      <c r="BMG61" s="236"/>
      <c r="BMH61" s="236"/>
      <c r="BMI61" s="236"/>
      <c r="BMJ61" s="236"/>
      <c r="BMK61" s="236"/>
      <c r="BML61" s="236"/>
      <c r="BMM61" s="236"/>
      <c r="BMN61" s="236"/>
      <c r="BMO61" s="236"/>
      <c r="BMP61" s="236"/>
      <c r="BMQ61" s="236"/>
      <c r="BMR61" s="236"/>
      <c r="BMS61" s="236"/>
      <c r="BMT61" s="236"/>
      <c r="BMU61" s="236"/>
      <c r="BMV61" s="236"/>
      <c r="BMW61" s="236"/>
      <c r="BMX61" s="236"/>
      <c r="BMY61" s="236"/>
      <c r="BMZ61" s="236"/>
      <c r="BNA61" s="236"/>
      <c r="BNB61" s="236"/>
      <c r="BNC61" s="236"/>
      <c r="BND61" s="236"/>
      <c r="BNE61" s="236"/>
      <c r="BNF61" s="236"/>
      <c r="BNG61" s="236"/>
      <c r="BNH61" s="236"/>
      <c r="BNI61" s="236"/>
      <c r="BNJ61" s="236"/>
      <c r="BNK61" s="236"/>
      <c r="BNL61" s="236"/>
      <c r="BNM61" s="236"/>
      <c r="BNN61" s="236"/>
      <c r="BNO61" s="236"/>
      <c r="BNP61" s="236"/>
      <c r="BNQ61" s="236"/>
      <c r="BNR61" s="236"/>
      <c r="BNS61" s="236"/>
      <c r="BNT61" s="236"/>
      <c r="BNU61" s="236"/>
      <c r="BNV61" s="236"/>
      <c r="BNW61" s="236"/>
      <c r="BNX61" s="236"/>
      <c r="BNY61" s="236"/>
      <c r="BNZ61" s="236"/>
      <c r="BOA61" s="236"/>
      <c r="BOB61" s="236"/>
    </row>
    <row r="62" spans="1:1744" ht="20.100000000000001" customHeight="1" x14ac:dyDescent="0.25">
      <c r="A62" s="100" t="s">
        <v>20</v>
      </c>
      <c r="B62" s="63"/>
      <c r="C62" s="18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236"/>
      <c r="BLW62" s="236"/>
      <c r="BLX62" s="236"/>
      <c r="BLY62" s="236"/>
      <c r="BLZ62" s="236"/>
      <c r="BMA62" s="236"/>
      <c r="BMB62" s="236"/>
      <c r="BMC62" s="236"/>
      <c r="BMD62" s="236"/>
      <c r="BME62" s="236"/>
      <c r="BMF62" s="236"/>
      <c r="BMG62" s="236"/>
      <c r="BMH62" s="236"/>
      <c r="BMI62" s="236"/>
      <c r="BMJ62" s="236"/>
      <c r="BMK62" s="236"/>
      <c r="BML62" s="236"/>
      <c r="BMM62" s="236"/>
      <c r="BMN62" s="236"/>
      <c r="BMO62" s="236"/>
      <c r="BMP62" s="236"/>
      <c r="BMQ62" s="236"/>
      <c r="BMR62" s="236"/>
      <c r="BMS62" s="236"/>
      <c r="BMT62" s="236"/>
      <c r="BMU62" s="236"/>
      <c r="BMV62" s="236"/>
      <c r="BMW62" s="236"/>
      <c r="BMX62" s="236"/>
      <c r="BMY62" s="236"/>
      <c r="BMZ62" s="236"/>
      <c r="BNA62" s="236"/>
      <c r="BNB62" s="236"/>
      <c r="BNC62" s="236"/>
      <c r="BND62" s="236"/>
      <c r="BNE62" s="236"/>
      <c r="BNF62" s="236"/>
      <c r="BNG62" s="236"/>
      <c r="BNH62" s="236"/>
      <c r="BNI62" s="236"/>
      <c r="BNJ62" s="236"/>
      <c r="BNK62" s="236"/>
      <c r="BNL62" s="236"/>
      <c r="BNM62" s="236"/>
      <c r="BNN62" s="236"/>
      <c r="BNO62" s="236"/>
      <c r="BNP62" s="236"/>
      <c r="BNQ62" s="236"/>
      <c r="BNR62" s="236"/>
      <c r="BNS62" s="236"/>
      <c r="BNT62" s="236"/>
      <c r="BNU62" s="236"/>
      <c r="BNV62" s="236"/>
      <c r="BNW62" s="236"/>
      <c r="BNX62" s="236"/>
      <c r="BNY62" s="236"/>
      <c r="BNZ62" s="236"/>
      <c r="BOA62" s="236"/>
      <c r="BOB62" s="236"/>
    </row>
    <row r="63" spans="1:1744" ht="20.100000000000001" customHeight="1" x14ac:dyDescent="0.25">
      <c r="A63" s="100" t="s">
        <v>19</v>
      </c>
      <c r="B63" s="63"/>
      <c r="C63" s="179"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216"/>
      <c r="AHW63" s="217"/>
      <c r="AHX63" s="217"/>
      <c r="AHY63" s="217"/>
      <c r="AHZ63" s="218"/>
      <c r="AIA63" s="219"/>
      <c r="AIB63" s="218"/>
      <c r="AIC63" s="218"/>
      <c r="AID63" s="218"/>
      <c r="AIE63" s="218"/>
      <c r="AIF63" s="218"/>
      <c r="AIG63" s="220"/>
      <c r="AIH63" s="218"/>
      <c r="AII63" s="218"/>
      <c r="AIJ63" s="218"/>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236"/>
      <c r="BLW63" s="236"/>
      <c r="BLX63" s="236"/>
      <c r="BLY63" s="236"/>
      <c r="BLZ63" s="236"/>
      <c r="BMA63" s="236"/>
      <c r="BMB63" s="236"/>
      <c r="BMC63" s="236"/>
      <c r="BMD63" s="236"/>
      <c r="BME63" s="236"/>
      <c r="BMF63" s="236"/>
      <c r="BMG63" s="236"/>
      <c r="BMH63" s="236"/>
      <c r="BMI63" s="236"/>
      <c r="BMJ63" s="236"/>
      <c r="BMK63" s="236"/>
      <c r="BML63" s="236"/>
      <c r="BMM63" s="236"/>
      <c r="BMN63" s="236"/>
      <c r="BMO63" s="236"/>
      <c r="BMP63" s="236"/>
      <c r="BMQ63" s="236"/>
      <c r="BMR63" s="236"/>
      <c r="BMS63" s="236"/>
      <c r="BMT63" s="236"/>
      <c r="BMU63" s="236"/>
      <c r="BMV63" s="236"/>
      <c r="BMW63" s="236"/>
      <c r="BMX63" s="236"/>
      <c r="BMY63" s="236"/>
      <c r="BMZ63" s="236"/>
      <c r="BNA63" s="236"/>
      <c r="BNB63" s="236"/>
      <c r="BNC63" s="236"/>
      <c r="BND63" s="236"/>
      <c r="BNE63" s="236"/>
      <c r="BNF63" s="236"/>
      <c r="BNG63" s="236"/>
      <c r="BNH63" s="236"/>
      <c r="BNI63" s="236"/>
      <c r="BNJ63" s="236"/>
      <c r="BNK63" s="236"/>
      <c r="BNL63" s="236"/>
      <c r="BNM63" s="236"/>
      <c r="BNN63" s="236"/>
      <c r="BNO63" s="236"/>
      <c r="BNP63" s="236"/>
      <c r="BNQ63" s="236"/>
      <c r="BNR63" s="236"/>
      <c r="BNS63" s="236"/>
      <c r="BNT63" s="236"/>
      <c r="BNU63" s="236"/>
      <c r="BNV63" s="236"/>
      <c r="BNW63" s="236"/>
      <c r="BNX63" s="236"/>
      <c r="BNY63" s="236"/>
      <c r="BNZ63" s="236"/>
      <c r="BOA63" s="236"/>
      <c r="BOB63" s="236"/>
    </row>
    <row r="64" spans="1:1744" ht="20.100000000000001" customHeight="1" x14ac:dyDescent="0.3">
      <c r="A64" s="100" t="s">
        <v>20</v>
      </c>
      <c r="B64" s="63"/>
      <c r="C64" s="18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36"/>
      <c r="BLW64" s="236"/>
      <c r="BLX64" s="236"/>
      <c r="BLY64" s="236"/>
      <c r="BLZ64" s="236"/>
      <c r="BMA64" s="236"/>
      <c r="BMB64" s="236"/>
      <c r="BMC64" s="236"/>
      <c r="BMD64" s="236"/>
      <c r="BME64" s="236"/>
      <c r="BMF64" s="236"/>
      <c r="BMG64" s="236"/>
      <c r="BMH64" s="236"/>
      <c r="BMI64" s="236"/>
      <c r="BMJ64" s="236"/>
      <c r="BMK64" s="236"/>
      <c r="BML64" s="236"/>
      <c r="BMM64" s="236"/>
      <c r="BMN64" s="236"/>
      <c r="BMO64" s="236"/>
      <c r="BMP64" s="236"/>
      <c r="BMQ64" s="236"/>
      <c r="BMR64" s="236"/>
      <c r="BMS64" s="236"/>
      <c r="BMT64" s="236"/>
      <c r="BMU64" s="236"/>
      <c r="BMV64" s="236"/>
      <c r="BMW64" s="236"/>
      <c r="BMX64" s="236"/>
      <c r="BMY64" s="236"/>
      <c r="BMZ64" s="236"/>
      <c r="BNA64" s="236"/>
      <c r="BNB64" s="236"/>
      <c r="BNC64" s="236"/>
      <c r="BND64" s="236"/>
      <c r="BNE64" s="236"/>
      <c r="BNF64" s="236"/>
      <c r="BNG64" s="236"/>
      <c r="BNH64" s="236"/>
      <c r="BNI64" s="236"/>
      <c r="BNJ64" s="236"/>
      <c r="BNK64" s="236"/>
      <c r="BNL64" s="236"/>
      <c r="BNM64" s="236"/>
      <c r="BNN64" s="236"/>
      <c r="BNO64" s="236"/>
      <c r="BNP64" s="236"/>
      <c r="BNQ64" s="236"/>
      <c r="BNR64" s="236"/>
      <c r="BNS64" s="236"/>
      <c r="BNT64" s="236"/>
      <c r="BNU64" s="236"/>
      <c r="BNV64" s="236"/>
      <c r="BNW64" s="236"/>
      <c r="BNX64" s="236"/>
      <c r="BNY64" s="236"/>
      <c r="BNZ64" s="236"/>
      <c r="BOA64" s="236"/>
      <c r="BOB64" s="236"/>
    </row>
    <row r="65" spans="1:1744" ht="20.100000000000001" customHeight="1" x14ac:dyDescent="0.25">
      <c r="A65" s="100" t="s">
        <v>19</v>
      </c>
      <c r="B65" s="63"/>
      <c r="C65" s="179"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222"/>
      <c r="ARC65" s="223"/>
      <c r="ARD65" s="223"/>
      <c r="ARE65" s="223"/>
      <c r="ARF65" s="224"/>
      <c r="ARG65" s="225"/>
      <c r="ARH65" s="224"/>
      <c r="ARI65" s="224"/>
      <c r="ARJ65" s="224"/>
      <c r="ARK65" s="224"/>
      <c r="ARL65" s="224"/>
      <c r="ARM65" s="226"/>
      <c r="ARN65" s="224"/>
      <c r="ARO65" s="224"/>
      <c r="ARP65" s="224"/>
      <c r="ARQ65" s="224"/>
      <c r="ARR65" s="224"/>
      <c r="ARS65" s="227"/>
      <c r="ART65" s="224"/>
      <c r="ARU65" s="224"/>
      <c r="ARV65" s="224"/>
      <c r="ARW65" s="224"/>
      <c r="ARX65" s="224"/>
      <c r="ARY65" s="226"/>
      <c r="ARZ65" s="224"/>
      <c r="ASA65" s="224"/>
      <c r="ASB65" s="224"/>
      <c r="ASC65" s="224"/>
      <c r="ASD65" s="224"/>
      <c r="ASE65" s="227"/>
      <c r="ASF65" s="223"/>
      <c r="ASG65" s="223"/>
      <c r="ASH65" s="223"/>
      <c r="ASI65" s="223"/>
      <c r="ASJ65" s="224"/>
      <c r="ASK65" s="226"/>
      <c r="ASL65" s="224"/>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224"/>
      <c r="AUE65" s="224"/>
      <c r="AUF65" s="224"/>
      <c r="AUG65" s="226"/>
      <c r="AUH65" s="224"/>
      <c r="AUI65" s="224"/>
      <c r="AUJ65" s="224"/>
      <c r="AUK65" s="224"/>
      <c r="AUL65" s="224"/>
      <c r="AUM65" s="227"/>
      <c r="AUN65" s="223"/>
      <c r="AUO65" s="223"/>
      <c r="AUP65" s="223"/>
      <c r="AUQ65" s="223"/>
      <c r="AUR65" s="224"/>
      <c r="AUS65" s="226"/>
      <c r="AUT65" s="224"/>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236"/>
      <c r="BLW65" s="236"/>
      <c r="BLX65" s="236"/>
      <c r="BLY65" s="236"/>
      <c r="BLZ65" s="236"/>
      <c r="BMA65" s="236"/>
      <c r="BMB65" s="236"/>
      <c r="BMC65" s="236"/>
      <c r="BMD65" s="236"/>
      <c r="BME65" s="236"/>
      <c r="BMF65" s="236"/>
      <c r="BMG65" s="236"/>
      <c r="BMH65" s="236"/>
      <c r="BMI65" s="236"/>
      <c r="BMJ65" s="236"/>
      <c r="BMK65" s="236"/>
      <c r="BML65" s="236"/>
      <c r="BMM65" s="236"/>
      <c r="BMN65" s="236"/>
      <c r="BMO65" s="236"/>
      <c r="BMP65" s="236"/>
      <c r="BMQ65" s="236"/>
      <c r="BMR65" s="236"/>
      <c r="BMS65" s="236"/>
      <c r="BMT65" s="236"/>
      <c r="BMU65" s="236"/>
      <c r="BMV65" s="236"/>
      <c r="BMW65" s="236"/>
      <c r="BMX65" s="236"/>
      <c r="BMY65" s="236"/>
      <c r="BMZ65" s="236"/>
      <c r="BNA65" s="236"/>
      <c r="BNB65" s="236"/>
      <c r="BNC65" s="236"/>
      <c r="BND65" s="236"/>
      <c r="BNE65" s="236"/>
      <c r="BNF65" s="236"/>
      <c r="BNG65" s="236"/>
      <c r="BNH65" s="236"/>
      <c r="BNI65" s="236"/>
      <c r="BNJ65" s="236"/>
      <c r="BNK65" s="236"/>
      <c r="BNL65" s="236"/>
      <c r="BNM65" s="236"/>
      <c r="BNN65" s="236"/>
      <c r="BNO65" s="236"/>
      <c r="BNP65" s="236"/>
      <c r="BNQ65" s="236"/>
      <c r="BNR65" s="236"/>
      <c r="BNS65" s="236"/>
      <c r="BNT65" s="236"/>
      <c r="BNU65" s="236"/>
      <c r="BNV65" s="236"/>
      <c r="BNW65" s="236"/>
      <c r="BNX65" s="236"/>
      <c r="BNY65" s="236"/>
      <c r="BNZ65" s="236"/>
      <c r="BOA65" s="236"/>
      <c r="BOB65" s="236"/>
    </row>
    <row r="66" spans="1:1744" ht="20.100000000000001" customHeight="1" x14ac:dyDescent="0.3">
      <c r="A66" s="100" t="s">
        <v>20</v>
      </c>
      <c r="B66" s="63"/>
      <c r="C66" s="18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236"/>
      <c r="BLW66" s="236"/>
      <c r="BLX66" s="236"/>
      <c r="BLY66" s="236"/>
      <c r="BLZ66" s="236"/>
      <c r="BMA66" s="236"/>
      <c r="BMB66" s="236"/>
      <c r="BMC66" s="236"/>
      <c r="BMD66" s="236"/>
      <c r="BME66" s="236"/>
      <c r="BMF66" s="236"/>
      <c r="BMG66" s="236"/>
      <c r="BMH66" s="236"/>
      <c r="BMI66" s="236"/>
      <c r="BMJ66" s="236"/>
      <c r="BMK66" s="236"/>
      <c r="BML66" s="236"/>
      <c r="BMM66" s="236"/>
      <c r="BMN66" s="236"/>
      <c r="BMO66" s="236"/>
      <c r="BMP66" s="236"/>
      <c r="BMQ66" s="236"/>
      <c r="BMR66" s="236"/>
      <c r="BMS66" s="236"/>
      <c r="BMT66" s="236"/>
      <c r="BMU66" s="236"/>
      <c r="BMV66" s="236"/>
      <c r="BMW66" s="236"/>
      <c r="BMX66" s="236"/>
      <c r="BMY66" s="236"/>
      <c r="BMZ66" s="236"/>
      <c r="BNA66" s="236"/>
      <c r="BNB66" s="236"/>
      <c r="BNC66" s="236"/>
      <c r="BND66" s="236"/>
      <c r="BNE66" s="236"/>
      <c r="BNF66" s="236"/>
      <c r="BNG66" s="236"/>
      <c r="BNH66" s="236"/>
      <c r="BNI66" s="236"/>
      <c r="BNJ66" s="236"/>
      <c r="BNK66" s="236"/>
      <c r="BNL66" s="236"/>
      <c r="BNM66" s="236"/>
      <c r="BNN66" s="236"/>
      <c r="BNO66" s="236"/>
      <c r="BNP66" s="236"/>
      <c r="BNQ66" s="236"/>
      <c r="BNR66" s="236"/>
      <c r="BNS66" s="236"/>
      <c r="BNT66" s="236"/>
      <c r="BNU66" s="236"/>
      <c r="BNV66" s="236"/>
      <c r="BNW66" s="236"/>
      <c r="BNX66" s="236"/>
      <c r="BNY66" s="236"/>
      <c r="BNZ66" s="236"/>
      <c r="BOA66" s="236"/>
      <c r="BOB66" s="236"/>
    </row>
    <row r="67" spans="1:1744" ht="20.100000000000001" customHeight="1" x14ac:dyDescent="0.25">
      <c r="A67" s="100" t="s">
        <v>19</v>
      </c>
      <c r="B67" s="63"/>
      <c r="C67" s="179"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216"/>
      <c r="ATK67" s="217"/>
      <c r="ATL67" s="217"/>
      <c r="ATM67" s="217"/>
      <c r="ATN67" s="218"/>
      <c r="ATO67" s="219"/>
      <c r="ATP67" s="218"/>
      <c r="ATQ67" s="218"/>
      <c r="ATR67" s="218"/>
      <c r="ATS67" s="218"/>
      <c r="ATT67" s="218"/>
      <c r="ATU67" s="220"/>
      <c r="ATV67" s="218"/>
      <c r="ATW67" s="218"/>
      <c r="ATX67" s="218"/>
      <c r="ATY67" s="218"/>
      <c r="ATZ67" s="218"/>
      <c r="AUA67" s="221"/>
      <c r="AUB67" s="218"/>
      <c r="AUC67" s="218"/>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236"/>
      <c r="BLW67" s="236"/>
      <c r="BLX67" s="236"/>
      <c r="BLY67" s="236"/>
      <c r="BLZ67" s="236"/>
      <c r="BMA67" s="236"/>
      <c r="BMB67" s="236"/>
      <c r="BMC67" s="236"/>
      <c r="BMD67" s="236"/>
      <c r="BME67" s="236"/>
      <c r="BMF67" s="236"/>
      <c r="BMG67" s="236"/>
      <c r="BMH67" s="236"/>
      <c r="BMI67" s="236"/>
      <c r="BMJ67" s="236"/>
      <c r="BMK67" s="236"/>
      <c r="BML67" s="236"/>
      <c r="BMM67" s="236"/>
      <c r="BMN67" s="236"/>
      <c r="BMO67" s="236"/>
      <c r="BMP67" s="236"/>
      <c r="BMQ67" s="236"/>
      <c r="BMR67" s="236"/>
      <c r="BMS67" s="236"/>
      <c r="BMT67" s="236"/>
      <c r="BMU67" s="236"/>
      <c r="BMV67" s="236"/>
      <c r="BMW67" s="236"/>
      <c r="BMX67" s="236"/>
      <c r="BMY67" s="236"/>
      <c r="BMZ67" s="236"/>
      <c r="BNA67" s="236"/>
      <c r="BNB67" s="236"/>
      <c r="BNC67" s="236"/>
      <c r="BND67" s="236"/>
      <c r="BNE67" s="236"/>
      <c r="BNF67" s="236"/>
      <c r="BNG67" s="236"/>
      <c r="BNH67" s="236"/>
      <c r="BNI67" s="236"/>
      <c r="BNJ67" s="236"/>
      <c r="BNK67" s="236"/>
      <c r="BNL67" s="236"/>
      <c r="BNM67" s="236"/>
      <c r="BNN67" s="236"/>
      <c r="BNO67" s="236"/>
      <c r="BNP67" s="236"/>
      <c r="BNQ67" s="236"/>
      <c r="BNR67" s="236"/>
      <c r="BNS67" s="236"/>
      <c r="BNT67" s="236"/>
      <c r="BNU67" s="236"/>
      <c r="BNV67" s="236"/>
      <c r="BNW67" s="236"/>
      <c r="BNX67" s="236"/>
      <c r="BNY67" s="236"/>
      <c r="BNZ67" s="236"/>
      <c r="BOA67" s="236"/>
      <c r="BOB67" s="236"/>
    </row>
    <row r="68" spans="1:1744" ht="20.100000000000001" customHeight="1" x14ac:dyDescent="0.25">
      <c r="A68" s="100" t="s">
        <v>20</v>
      </c>
      <c r="B68" s="63"/>
      <c r="C68" s="18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36"/>
      <c r="BLW68" s="236"/>
      <c r="BLX68" s="236"/>
      <c r="BLY68" s="236"/>
      <c r="BLZ68" s="236"/>
      <c r="BMA68" s="236"/>
      <c r="BMB68" s="236"/>
      <c r="BMC68" s="236"/>
      <c r="BMD68" s="236"/>
      <c r="BME68" s="236"/>
      <c r="BMF68" s="236"/>
      <c r="BMG68" s="236"/>
      <c r="BMH68" s="236"/>
      <c r="BMI68" s="236"/>
      <c r="BMJ68" s="236"/>
      <c r="BMK68" s="236"/>
      <c r="BML68" s="236"/>
      <c r="BMM68" s="236"/>
      <c r="BMN68" s="236"/>
      <c r="BMO68" s="236"/>
      <c r="BMP68" s="236"/>
      <c r="BMQ68" s="236"/>
      <c r="BMR68" s="236"/>
      <c r="BMS68" s="236"/>
      <c r="BMT68" s="236"/>
      <c r="BMU68" s="236"/>
      <c r="BMV68" s="236"/>
      <c r="BMW68" s="236"/>
      <c r="BMX68" s="236"/>
      <c r="BMY68" s="236"/>
      <c r="BMZ68" s="236"/>
      <c r="BNA68" s="236"/>
      <c r="BNB68" s="236"/>
      <c r="BNC68" s="236"/>
      <c r="BND68" s="236"/>
      <c r="BNE68" s="236"/>
      <c r="BNF68" s="236"/>
      <c r="BNG68" s="236"/>
      <c r="BNH68" s="236"/>
      <c r="BNI68" s="236"/>
      <c r="BNJ68" s="236"/>
      <c r="BNK68" s="236"/>
      <c r="BNL68" s="236"/>
      <c r="BNM68" s="236"/>
      <c r="BNN68" s="236"/>
      <c r="BNO68" s="236"/>
      <c r="BNP68" s="236"/>
      <c r="BNQ68" s="236"/>
      <c r="BNR68" s="236"/>
      <c r="BNS68" s="236"/>
      <c r="BNT68" s="236"/>
      <c r="BNU68" s="236"/>
      <c r="BNV68" s="236"/>
      <c r="BNW68" s="236"/>
      <c r="BNX68" s="236"/>
      <c r="BNY68" s="236"/>
      <c r="BNZ68" s="236"/>
      <c r="BOA68" s="236"/>
      <c r="BOB68" s="236"/>
    </row>
    <row r="69" spans="1:1744" ht="20.100000000000001" customHeight="1" x14ac:dyDescent="0.25">
      <c r="A69" s="100" t="s">
        <v>19</v>
      </c>
      <c r="B69" s="63"/>
      <c r="C69" s="179"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222"/>
      <c r="AVS69" s="223"/>
      <c r="AVT69" s="223"/>
      <c r="AVU69" s="223"/>
      <c r="AVV69" s="224"/>
      <c r="AVW69" s="225"/>
      <c r="AVX69" s="224"/>
      <c r="AVY69" s="224"/>
      <c r="AVZ69" s="224"/>
      <c r="AWA69" s="224"/>
      <c r="AWB69" s="224"/>
      <c r="AWC69" s="226"/>
      <c r="AWD69" s="224"/>
      <c r="AWE69" s="224"/>
      <c r="AWF69" s="224"/>
      <c r="AWG69" s="224"/>
      <c r="AWH69" s="224"/>
      <c r="AWI69" s="227"/>
      <c r="AWJ69" s="224"/>
      <c r="AWK69" s="224"/>
      <c r="AWL69" s="224"/>
      <c r="AWM69" s="224"/>
      <c r="AWN69" s="224"/>
      <c r="AWO69" s="226"/>
      <c r="AWP69" s="224"/>
      <c r="AWQ69" s="224"/>
      <c r="AWR69" s="224"/>
      <c r="AWS69" s="224"/>
      <c r="AWT69" s="224"/>
      <c r="AWU69" s="227"/>
      <c r="AWV69" s="223"/>
      <c r="AWW69" s="223"/>
      <c r="AWX69" s="223"/>
      <c r="AWY69" s="223"/>
      <c r="AWZ69" s="224"/>
      <c r="AXA69" s="226"/>
      <c r="AXB69" s="224"/>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236"/>
      <c r="BLW69" s="236"/>
      <c r="BLX69" s="236"/>
      <c r="BLY69" s="236"/>
      <c r="BLZ69" s="236"/>
      <c r="BMA69" s="236"/>
      <c r="BMB69" s="236"/>
      <c r="BMC69" s="236"/>
      <c r="BMD69" s="236"/>
      <c r="BME69" s="236"/>
      <c r="BMF69" s="236"/>
      <c r="BMG69" s="236"/>
      <c r="BMH69" s="236"/>
      <c r="BMI69" s="236"/>
      <c r="BMJ69" s="236"/>
      <c r="BMK69" s="236"/>
      <c r="BML69" s="236"/>
      <c r="BMM69" s="236"/>
      <c r="BMN69" s="236"/>
      <c r="BMO69" s="236"/>
      <c r="BMP69" s="236"/>
      <c r="BMQ69" s="236"/>
      <c r="BMR69" s="236"/>
      <c r="BMS69" s="236"/>
      <c r="BMT69" s="236"/>
      <c r="BMU69" s="236"/>
      <c r="BMV69" s="236"/>
      <c r="BMW69" s="236"/>
      <c r="BMX69" s="236"/>
      <c r="BMY69" s="236"/>
      <c r="BMZ69" s="236"/>
      <c r="BNA69" s="236"/>
      <c r="BNB69" s="236"/>
      <c r="BNC69" s="236"/>
      <c r="BND69" s="236"/>
      <c r="BNE69" s="236"/>
      <c r="BNF69" s="236"/>
      <c r="BNG69" s="236"/>
      <c r="BNH69" s="236"/>
      <c r="BNI69" s="236"/>
      <c r="BNJ69" s="236"/>
      <c r="BNK69" s="236"/>
      <c r="BNL69" s="236"/>
      <c r="BNM69" s="236"/>
      <c r="BNN69" s="236"/>
      <c r="BNO69" s="236"/>
      <c r="BNP69" s="236"/>
      <c r="BNQ69" s="236"/>
      <c r="BNR69" s="236"/>
      <c r="BNS69" s="236"/>
      <c r="BNT69" s="236"/>
      <c r="BNU69" s="236"/>
      <c r="BNV69" s="236"/>
      <c r="BNW69" s="236"/>
      <c r="BNX69" s="236"/>
      <c r="BNY69" s="236"/>
      <c r="BNZ69" s="236"/>
      <c r="BOA69" s="236"/>
      <c r="BOB69" s="236"/>
    </row>
    <row r="70" spans="1:1744" ht="20.100000000000001" customHeight="1" x14ac:dyDescent="0.3">
      <c r="A70" s="100" t="s">
        <v>20</v>
      </c>
      <c r="B70" s="63"/>
      <c r="C70" s="18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236"/>
      <c r="BLW70" s="236"/>
      <c r="BLX70" s="236"/>
      <c r="BLY70" s="236"/>
      <c r="BLZ70" s="236"/>
      <c r="BMA70" s="236"/>
      <c r="BMB70" s="236"/>
      <c r="BMC70" s="236"/>
      <c r="BMD70" s="236"/>
      <c r="BME70" s="236"/>
      <c r="BMF70" s="236"/>
      <c r="BMG70" s="236"/>
      <c r="BMH70" s="236"/>
      <c r="BMI70" s="236"/>
      <c r="BMJ70" s="236"/>
      <c r="BMK70" s="236"/>
      <c r="BML70" s="236"/>
      <c r="BMM70" s="236"/>
      <c r="BMN70" s="236"/>
      <c r="BMO70" s="236"/>
      <c r="BMP70" s="236"/>
      <c r="BMQ70" s="236"/>
      <c r="BMR70" s="236"/>
      <c r="BMS70" s="236"/>
      <c r="BMT70" s="236"/>
      <c r="BMU70" s="236"/>
      <c r="BMV70" s="236"/>
      <c r="BMW70" s="236"/>
      <c r="BMX70" s="236"/>
      <c r="BMY70" s="236"/>
      <c r="BMZ70" s="236"/>
      <c r="BNA70" s="236"/>
      <c r="BNB70" s="236"/>
      <c r="BNC70" s="236"/>
      <c r="BND70" s="236"/>
      <c r="BNE70" s="236"/>
      <c r="BNF70" s="236"/>
      <c r="BNG70" s="236"/>
      <c r="BNH70" s="236"/>
      <c r="BNI70" s="236"/>
      <c r="BNJ70" s="236"/>
      <c r="BNK70" s="236"/>
      <c r="BNL70" s="236"/>
      <c r="BNM70" s="236"/>
      <c r="BNN70" s="236"/>
      <c r="BNO70" s="236"/>
      <c r="BNP70" s="236"/>
      <c r="BNQ70" s="236"/>
      <c r="BNR70" s="236"/>
      <c r="BNS70" s="236"/>
      <c r="BNT70" s="236"/>
      <c r="BNU70" s="236"/>
      <c r="BNV70" s="236"/>
      <c r="BNW70" s="236"/>
      <c r="BNX70" s="236"/>
      <c r="BNY70" s="236"/>
      <c r="BNZ70" s="236"/>
      <c r="BOA70" s="236"/>
      <c r="BOB70" s="236"/>
    </row>
    <row r="71" spans="1:1744" ht="20.100000000000001" customHeight="1" x14ac:dyDescent="0.25">
      <c r="A71" s="100" t="s">
        <v>19</v>
      </c>
      <c r="B71" s="63"/>
      <c r="C71" s="179"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216"/>
      <c r="BAI71" s="217"/>
      <c r="BAJ71" s="217"/>
      <c r="BAK71" s="217"/>
      <c r="BAL71" s="218"/>
      <c r="BAM71" s="219"/>
      <c r="BAN71" s="218"/>
      <c r="BAO71" s="218"/>
      <c r="BAP71" s="218"/>
      <c r="BAQ71" s="218"/>
      <c r="BAR71" s="218"/>
      <c r="BAS71" s="220"/>
      <c r="BAT71" s="218"/>
      <c r="BAU71" s="218"/>
      <c r="BAV71" s="218"/>
      <c r="BAW71" s="218"/>
      <c r="BAX71" s="218"/>
      <c r="BAY71" s="221"/>
      <c r="BAZ71" s="218"/>
      <c r="BBA71" s="218"/>
      <c r="BBB71" s="218"/>
      <c r="BBC71" s="218"/>
      <c r="BBD71" s="218"/>
      <c r="BBE71" s="220"/>
      <c r="BBF71" s="218"/>
      <c r="BBG71" s="218"/>
      <c r="BBH71" s="218"/>
      <c r="BBI71" s="218"/>
      <c r="BBJ71" s="218"/>
      <c r="BBK71" s="221"/>
      <c r="BBL71" s="217"/>
      <c r="BBM71" s="217"/>
      <c r="BBN71" s="217"/>
      <c r="BBO71" s="217"/>
      <c r="BBP71" s="218"/>
      <c r="BBQ71" s="220"/>
      <c r="BBR71" s="218"/>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236"/>
      <c r="BLW71" s="236"/>
      <c r="BLX71" s="236"/>
      <c r="BLY71" s="236"/>
      <c r="BLZ71" s="236"/>
      <c r="BMA71" s="236"/>
      <c r="BMB71" s="236"/>
      <c r="BMC71" s="236"/>
      <c r="BMD71" s="236"/>
      <c r="BME71" s="236"/>
      <c r="BMF71" s="236"/>
      <c r="BMG71" s="236"/>
      <c r="BMH71" s="236"/>
      <c r="BMI71" s="236"/>
      <c r="BMJ71" s="236"/>
      <c r="BMK71" s="236"/>
      <c r="BML71" s="236"/>
      <c r="BMM71" s="236"/>
      <c r="BMN71" s="236"/>
      <c r="BMO71" s="236"/>
      <c r="BMP71" s="236"/>
      <c r="BMQ71" s="236"/>
      <c r="BMR71" s="236"/>
      <c r="BMS71" s="236"/>
      <c r="BMT71" s="236"/>
      <c r="BMU71" s="236"/>
      <c r="BMV71" s="236"/>
      <c r="BMW71" s="236"/>
      <c r="BMX71" s="236"/>
      <c r="BMY71" s="236"/>
      <c r="BMZ71" s="236"/>
      <c r="BNA71" s="236"/>
      <c r="BNB71" s="236"/>
      <c r="BNC71" s="236"/>
      <c r="BND71" s="236"/>
      <c r="BNE71" s="236"/>
      <c r="BNF71" s="236"/>
      <c r="BNG71" s="236"/>
      <c r="BNH71" s="236"/>
      <c r="BNI71" s="236"/>
      <c r="BNJ71" s="236"/>
      <c r="BNK71" s="236"/>
      <c r="BNL71" s="236"/>
      <c r="BNM71" s="236"/>
      <c r="BNN71" s="236"/>
      <c r="BNO71" s="236"/>
      <c r="BNP71" s="236"/>
      <c r="BNQ71" s="236"/>
      <c r="BNR71" s="236"/>
      <c r="BNS71" s="236"/>
      <c r="BNT71" s="236"/>
      <c r="BNU71" s="236"/>
      <c r="BNV71" s="236"/>
      <c r="BNW71" s="236"/>
      <c r="BNX71" s="236"/>
      <c r="BNY71" s="236"/>
      <c r="BNZ71" s="236"/>
      <c r="BOA71" s="236"/>
      <c r="BOB71" s="236"/>
    </row>
    <row r="72" spans="1:1744" ht="20.100000000000001" customHeight="1" x14ac:dyDescent="0.25">
      <c r="A72" s="100" t="s">
        <v>20</v>
      </c>
      <c r="B72" s="63"/>
      <c r="C72" s="18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36"/>
      <c r="BLW72" s="236"/>
      <c r="BLX72" s="236"/>
      <c r="BLY72" s="236"/>
      <c r="BLZ72" s="236"/>
      <c r="BMA72" s="236"/>
      <c r="BMB72" s="236"/>
      <c r="BMC72" s="236"/>
      <c r="BMD72" s="236"/>
      <c r="BME72" s="236"/>
      <c r="BMF72" s="236"/>
      <c r="BMG72" s="236"/>
      <c r="BMH72" s="236"/>
      <c r="BMI72" s="236"/>
      <c r="BMJ72" s="236"/>
      <c r="BMK72" s="236"/>
      <c r="BML72" s="236"/>
      <c r="BMM72" s="236"/>
      <c r="BMN72" s="236"/>
      <c r="BMO72" s="236"/>
      <c r="BMP72" s="236"/>
      <c r="BMQ72" s="236"/>
      <c r="BMR72" s="236"/>
      <c r="BMS72" s="236"/>
      <c r="BMT72" s="236"/>
      <c r="BMU72" s="236"/>
      <c r="BMV72" s="236"/>
      <c r="BMW72" s="236"/>
      <c r="BMX72" s="236"/>
      <c r="BMY72" s="236"/>
      <c r="BMZ72" s="236"/>
      <c r="BNA72" s="236"/>
      <c r="BNB72" s="236"/>
      <c r="BNC72" s="236"/>
      <c r="BND72" s="236"/>
      <c r="BNE72" s="236"/>
      <c r="BNF72" s="236"/>
      <c r="BNG72" s="236"/>
      <c r="BNH72" s="236"/>
      <c r="BNI72" s="236"/>
      <c r="BNJ72" s="236"/>
      <c r="BNK72" s="236"/>
      <c r="BNL72" s="236"/>
      <c r="BNM72" s="236"/>
      <c r="BNN72" s="236"/>
      <c r="BNO72" s="236"/>
      <c r="BNP72" s="236"/>
      <c r="BNQ72" s="236"/>
      <c r="BNR72" s="236"/>
      <c r="BNS72" s="236"/>
      <c r="BNT72" s="236"/>
      <c r="BNU72" s="236"/>
      <c r="BNV72" s="236"/>
      <c r="BNW72" s="236"/>
      <c r="BNX72" s="236"/>
      <c r="BNY72" s="236"/>
      <c r="BNZ72" s="236"/>
      <c r="BOA72" s="236"/>
      <c r="BOB72" s="236"/>
    </row>
    <row r="73" spans="1:1744" ht="20.100000000000001" customHeight="1" x14ac:dyDescent="0.25">
      <c r="A73" s="100" t="s">
        <v>19</v>
      </c>
      <c r="B73" s="63"/>
      <c r="C73" s="179"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222"/>
      <c r="BEY73" s="223"/>
      <c r="BEZ73" s="223"/>
      <c r="BFA73" s="223"/>
      <c r="BFB73" s="224"/>
      <c r="BFC73" s="225"/>
      <c r="BFD73" s="224"/>
      <c r="BFE73" s="224"/>
      <c r="BFF73" s="224"/>
      <c r="BFG73" s="224"/>
      <c r="BFH73" s="224"/>
      <c r="BFI73" s="226"/>
      <c r="BFJ73" s="224"/>
      <c r="BFK73" s="224"/>
      <c r="BFL73" s="224"/>
      <c r="BFM73" s="224"/>
      <c r="BFN73" s="224"/>
      <c r="BFO73" s="227"/>
      <c r="BFP73" s="224"/>
      <c r="BFQ73" s="224"/>
      <c r="BFR73" s="224"/>
      <c r="BFS73" s="224"/>
      <c r="BFT73" s="224"/>
      <c r="BFU73" s="226"/>
      <c r="BFV73" s="224"/>
      <c r="BFW73" s="224"/>
      <c r="BFX73" s="224"/>
      <c r="BFY73" s="224"/>
      <c r="BFZ73" s="224"/>
      <c r="BGA73" s="227"/>
      <c r="BGB73" s="223"/>
      <c r="BGC73" s="223"/>
      <c r="BGD73" s="223"/>
      <c r="BGE73" s="223"/>
      <c r="BGF73" s="224"/>
      <c r="BGG73" s="226"/>
      <c r="BGH73" s="224"/>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236"/>
      <c r="BLW73" s="236"/>
      <c r="BLX73" s="236"/>
      <c r="BLY73" s="236"/>
      <c r="BLZ73" s="236"/>
      <c r="BMA73" s="236"/>
      <c r="BMB73" s="236"/>
      <c r="BMC73" s="236"/>
      <c r="BMD73" s="236"/>
      <c r="BME73" s="236"/>
      <c r="BMF73" s="236"/>
      <c r="BMG73" s="236"/>
      <c r="BMH73" s="236"/>
      <c r="BMI73" s="236"/>
      <c r="BMJ73" s="236"/>
      <c r="BMK73" s="236"/>
      <c r="BML73" s="236"/>
      <c r="BMM73" s="236"/>
      <c r="BMN73" s="236"/>
      <c r="BMO73" s="236"/>
      <c r="BMP73" s="236"/>
      <c r="BMQ73" s="236"/>
      <c r="BMR73" s="236"/>
      <c r="BMS73" s="236"/>
      <c r="BMT73" s="236"/>
      <c r="BMU73" s="236"/>
      <c r="BMV73" s="236"/>
      <c r="BMW73" s="236"/>
      <c r="BMX73" s="236"/>
      <c r="BMY73" s="236"/>
      <c r="BMZ73" s="236"/>
      <c r="BNA73" s="236"/>
      <c r="BNB73" s="236"/>
      <c r="BNC73" s="236"/>
      <c r="BND73" s="236"/>
      <c r="BNE73" s="236"/>
      <c r="BNF73" s="236"/>
      <c r="BNG73" s="236"/>
      <c r="BNH73" s="236"/>
      <c r="BNI73" s="236"/>
      <c r="BNJ73" s="236"/>
      <c r="BNK73" s="236"/>
      <c r="BNL73" s="236"/>
      <c r="BNM73" s="236"/>
      <c r="BNN73" s="236"/>
      <c r="BNO73" s="236"/>
      <c r="BNP73" s="236"/>
      <c r="BNQ73" s="236"/>
      <c r="BNR73" s="236"/>
      <c r="BNS73" s="236"/>
      <c r="BNT73" s="236"/>
      <c r="BNU73" s="236"/>
      <c r="BNV73" s="236"/>
      <c r="BNW73" s="236"/>
      <c r="BNX73" s="236"/>
      <c r="BNY73" s="236"/>
      <c r="BNZ73" s="236"/>
      <c r="BOA73" s="236"/>
      <c r="BOB73" s="236"/>
    </row>
    <row r="74" spans="1:1744" ht="20.100000000000001" customHeight="1" x14ac:dyDescent="0.3">
      <c r="A74" s="100" t="s">
        <v>20</v>
      </c>
      <c r="B74" s="63"/>
      <c r="C74" s="18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236"/>
      <c r="BLW74" s="236"/>
      <c r="BLX74" s="236"/>
      <c r="BLY74" s="236"/>
      <c r="BLZ74" s="236"/>
      <c r="BMA74" s="236"/>
      <c r="BMB74" s="236"/>
      <c r="BMC74" s="236"/>
      <c r="BMD74" s="236"/>
      <c r="BME74" s="236"/>
      <c r="BMF74" s="236"/>
      <c r="BMG74" s="236"/>
      <c r="BMH74" s="236"/>
      <c r="BMI74" s="236"/>
      <c r="BMJ74" s="236"/>
      <c r="BMK74" s="236"/>
      <c r="BML74" s="236"/>
      <c r="BMM74" s="236"/>
      <c r="BMN74" s="236"/>
      <c r="BMO74" s="236"/>
      <c r="BMP74" s="236"/>
      <c r="BMQ74" s="236"/>
      <c r="BMR74" s="236"/>
      <c r="BMS74" s="236"/>
      <c r="BMT74" s="236"/>
      <c r="BMU74" s="236"/>
      <c r="BMV74" s="236"/>
      <c r="BMW74" s="236"/>
      <c r="BMX74" s="236"/>
      <c r="BMY74" s="236"/>
      <c r="BMZ74" s="236"/>
      <c r="BNA74" s="236"/>
      <c r="BNB74" s="236"/>
      <c r="BNC74" s="236"/>
      <c r="BND74" s="236"/>
      <c r="BNE74" s="236"/>
      <c r="BNF74" s="236"/>
      <c r="BNG74" s="236"/>
      <c r="BNH74" s="236"/>
      <c r="BNI74" s="236"/>
      <c r="BNJ74" s="236"/>
      <c r="BNK74" s="236"/>
      <c r="BNL74" s="236"/>
      <c r="BNM74" s="236"/>
      <c r="BNN74" s="236"/>
      <c r="BNO74" s="236"/>
      <c r="BNP74" s="236"/>
      <c r="BNQ74" s="236"/>
      <c r="BNR74" s="236"/>
      <c r="BNS74" s="236"/>
      <c r="BNT74" s="236"/>
      <c r="BNU74" s="236"/>
      <c r="BNV74" s="236"/>
      <c r="BNW74" s="236"/>
      <c r="BNX74" s="236"/>
      <c r="BNY74" s="236"/>
      <c r="BNZ74" s="236"/>
      <c r="BOA74" s="236"/>
      <c r="BOB74" s="236"/>
    </row>
    <row r="75" spans="1:1744" ht="20.100000000000001" customHeight="1" x14ac:dyDescent="0.25">
      <c r="A75" s="100" t="s">
        <v>19</v>
      </c>
      <c r="B75" s="63"/>
      <c r="C75" s="179"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236"/>
      <c r="BLW75" s="236"/>
      <c r="BLX75" s="236"/>
      <c r="BLY75" s="236"/>
      <c r="BLZ75" s="236"/>
      <c r="BMA75" s="236"/>
      <c r="BMB75" s="236"/>
      <c r="BMC75" s="236"/>
      <c r="BMD75" s="236"/>
      <c r="BME75" s="236"/>
      <c r="BMF75" s="236"/>
      <c r="BMG75" s="236"/>
      <c r="BMH75" s="236"/>
      <c r="BMI75" s="236"/>
      <c r="BMJ75" s="236"/>
      <c r="BMK75" s="236"/>
      <c r="BML75" s="236"/>
      <c r="BMM75" s="236"/>
      <c r="BMN75" s="236"/>
      <c r="BMO75" s="236"/>
      <c r="BMP75" s="236"/>
      <c r="BMQ75" s="236"/>
      <c r="BMR75" s="236"/>
      <c r="BMS75" s="236"/>
      <c r="BMT75" s="236"/>
      <c r="BMU75" s="236"/>
      <c r="BMV75" s="236"/>
      <c r="BMW75" s="236"/>
      <c r="BMX75" s="236"/>
      <c r="BMY75" s="236"/>
      <c r="BMZ75" s="236"/>
      <c r="BNA75" s="236"/>
      <c r="BNB75" s="236"/>
      <c r="BNC75" s="236"/>
      <c r="BND75" s="236"/>
      <c r="BNE75" s="236"/>
      <c r="BNF75" s="236"/>
      <c r="BNG75" s="236"/>
      <c r="BNH75" s="236"/>
      <c r="BNI75" s="236"/>
      <c r="BNJ75" s="236"/>
      <c r="BNK75" s="236"/>
      <c r="BNL75" s="236"/>
      <c r="BNM75" s="236"/>
      <c r="BNN75" s="236"/>
      <c r="BNO75" s="236"/>
      <c r="BNP75" s="236"/>
      <c r="BNQ75" s="236"/>
      <c r="BNR75" s="236"/>
      <c r="BNS75" s="236"/>
      <c r="BNT75" s="236"/>
      <c r="BNU75" s="236"/>
      <c r="BNV75" s="236"/>
      <c r="BNW75" s="236"/>
      <c r="BNX75" s="236"/>
      <c r="BNY75" s="236"/>
      <c r="BNZ75" s="236"/>
      <c r="BOA75" s="236"/>
      <c r="BOB75" s="236"/>
    </row>
    <row r="76" spans="1:1744" ht="20.100000000000001" customHeight="1" x14ac:dyDescent="0.3">
      <c r="A76" s="100" t="s">
        <v>20</v>
      </c>
      <c r="B76" s="63"/>
      <c r="C76" s="18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236"/>
      <c r="BLW76" s="236"/>
      <c r="BLX76" s="236"/>
      <c r="BLY76" s="236"/>
      <c r="BLZ76" s="236"/>
      <c r="BMA76" s="236"/>
      <c r="BMB76" s="236"/>
      <c r="BMC76" s="236"/>
      <c r="BMD76" s="236"/>
      <c r="BME76" s="236"/>
      <c r="BMF76" s="236"/>
      <c r="BMG76" s="236"/>
      <c r="BMH76" s="236"/>
      <c r="BMI76" s="236"/>
      <c r="BMJ76" s="236"/>
      <c r="BMK76" s="236"/>
      <c r="BML76" s="236"/>
      <c r="BMM76" s="236"/>
      <c r="BMN76" s="236"/>
      <c r="BMO76" s="236"/>
      <c r="BMP76" s="236"/>
      <c r="BMQ76" s="236"/>
      <c r="BMR76" s="236"/>
      <c r="BMS76" s="236"/>
      <c r="BMT76" s="236"/>
      <c r="BMU76" s="236"/>
      <c r="BMV76" s="236"/>
      <c r="BMW76" s="236"/>
      <c r="BMX76" s="236"/>
      <c r="BMY76" s="236"/>
      <c r="BMZ76" s="236"/>
      <c r="BNA76" s="236"/>
      <c r="BNB76" s="236"/>
      <c r="BNC76" s="236"/>
      <c r="BND76" s="236"/>
      <c r="BNE76" s="236"/>
      <c r="BNF76" s="236"/>
      <c r="BNG76" s="236"/>
      <c r="BNH76" s="236"/>
      <c r="BNI76" s="236"/>
      <c r="BNJ76" s="236"/>
      <c r="BNK76" s="236"/>
      <c r="BNL76" s="236"/>
      <c r="BNM76" s="236"/>
      <c r="BNN76" s="236"/>
      <c r="BNO76" s="236"/>
      <c r="BNP76" s="236"/>
      <c r="BNQ76" s="236"/>
      <c r="BNR76" s="236"/>
      <c r="BNS76" s="236"/>
      <c r="BNT76" s="236"/>
      <c r="BNU76" s="236"/>
      <c r="BNV76" s="236"/>
      <c r="BNW76" s="236"/>
      <c r="BNX76" s="236"/>
      <c r="BNY76" s="236"/>
      <c r="BNZ76" s="236"/>
      <c r="BOA76" s="236"/>
      <c r="BOB76" s="236"/>
    </row>
    <row r="77" spans="1:1744" ht="20.100000000000001" customHeight="1" x14ac:dyDescent="0.25">
      <c r="A77" s="100" t="s">
        <v>19</v>
      </c>
      <c r="B77" s="63"/>
      <c r="C77" s="179"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216"/>
      <c r="BCQ77" s="217"/>
      <c r="BCR77" s="217"/>
      <c r="BCS77" s="217"/>
      <c r="BCT77" s="218"/>
      <c r="BCU77" s="219"/>
      <c r="BCV77" s="218"/>
      <c r="BCW77" s="218"/>
      <c r="BCX77" s="218"/>
      <c r="BCY77" s="218"/>
      <c r="BCZ77" s="218"/>
      <c r="BDA77" s="220"/>
      <c r="BDB77" s="218"/>
      <c r="BDC77" s="218"/>
      <c r="BDD77" s="218"/>
      <c r="BDE77" s="218"/>
      <c r="BDF77" s="218"/>
      <c r="BDG77" s="221"/>
      <c r="BDH77" s="218"/>
      <c r="BDI77" s="218"/>
      <c r="BDJ77" s="218"/>
      <c r="BDK77" s="218"/>
      <c r="BDL77" s="218"/>
      <c r="BDM77" s="220"/>
      <c r="BDN77" s="218"/>
      <c r="BDO77" s="218"/>
      <c r="BDP77" s="218"/>
      <c r="BDQ77" s="218"/>
      <c r="BDR77" s="218"/>
      <c r="BDS77" s="221"/>
      <c r="BDT77" s="217"/>
      <c r="BDU77" s="217"/>
      <c r="BDV77" s="217"/>
      <c r="BDW77" s="217"/>
      <c r="BDX77" s="218"/>
      <c r="BDY77" s="220"/>
      <c r="BDZ77" s="218"/>
      <c r="BEA77" s="218"/>
      <c r="BEB77" s="218"/>
      <c r="BEC77" s="218"/>
      <c r="BED77" s="218"/>
      <c r="BEE77" s="221"/>
      <c r="BEF77" s="218"/>
      <c r="BEG77" s="218"/>
      <c r="BEH77" s="218"/>
      <c r="BEI77" s="218"/>
      <c r="BEJ77" s="218"/>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236"/>
      <c r="BLW77" s="236"/>
      <c r="BLX77" s="236"/>
      <c r="BLY77" s="236"/>
      <c r="BLZ77" s="236"/>
      <c r="BMA77" s="236"/>
      <c r="BMB77" s="236"/>
      <c r="BMC77" s="236"/>
      <c r="BMD77" s="236"/>
      <c r="BME77" s="236"/>
      <c r="BMF77" s="236"/>
      <c r="BMG77" s="236"/>
      <c r="BMH77" s="236"/>
      <c r="BMI77" s="236"/>
      <c r="BMJ77" s="236"/>
      <c r="BMK77" s="236"/>
      <c r="BML77" s="236"/>
      <c r="BMM77" s="236"/>
      <c r="BMN77" s="236"/>
      <c r="BMO77" s="236"/>
      <c r="BMP77" s="236"/>
      <c r="BMQ77" s="236"/>
      <c r="BMR77" s="236"/>
      <c r="BMS77" s="236"/>
      <c r="BMT77" s="236"/>
      <c r="BMU77" s="236"/>
      <c r="BMV77" s="236"/>
      <c r="BMW77" s="236"/>
      <c r="BMX77" s="236"/>
      <c r="BMY77" s="236"/>
      <c r="BMZ77" s="236"/>
      <c r="BNA77" s="236"/>
      <c r="BNB77" s="236"/>
      <c r="BNC77" s="236"/>
      <c r="BND77" s="236"/>
      <c r="BNE77" s="236"/>
      <c r="BNF77" s="236"/>
      <c r="BNG77" s="236"/>
      <c r="BNH77" s="236"/>
      <c r="BNI77" s="236"/>
      <c r="BNJ77" s="236"/>
      <c r="BNK77" s="236"/>
      <c r="BNL77" s="236"/>
      <c r="BNM77" s="236"/>
      <c r="BNN77" s="236"/>
      <c r="BNO77" s="236"/>
      <c r="BNP77" s="236"/>
      <c r="BNQ77" s="236"/>
      <c r="BNR77" s="236"/>
      <c r="BNS77" s="236"/>
      <c r="BNT77" s="236"/>
      <c r="BNU77" s="236"/>
      <c r="BNV77" s="236"/>
      <c r="BNW77" s="236"/>
      <c r="BNX77" s="236"/>
      <c r="BNY77" s="236"/>
      <c r="BNZ77" s="236"/>
      <c r="BOA77" s="236"/>
      <c r="BOB77" s="236"/>
    </row>
    <row r="78" spans="1:1744" ht="20.100000000000001" customHeight="1" x14ac:dyDescent="0.25">
      <c r="A78" s="100" t="s">
        <v>20</v>
      </c>
      <c r="B78" s="63"/>
      <c r="C78" s="18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36"/>
      <c r="BLW78" s="236"/>
      <c r="BLX78" s="236"/>
      <c r="BLY78" s="236"/>
      <c r="BLZ78" s="236"/>
      <c r="BMA78" s="236"/>
      <c r="BMB78" s="236"/>
      <c r="BMC78" s="236"/>
      <c r="BMD78" s="236"/>
      <c r="BME78" s="236"/>
      <c r="BMF78" s="236"/>
      <c r="BMG78" s="236"/>
      <c r="BMH78" s="236"/>
      <c r="BMI78" s="236"/>
      <c r="BMJ78" s="236"/>
      <c r="BMK78" s="236"/>
      <c r="BML78" s="236"/>
      <c r="BMM78" s="236"/>
      <c r="BMN78" s="236"/>
      <c r="BMO78" s="236"/>
      <c r="BMP78" s="236"/>
      <c r="BMQ78" s="236"/>
      <c r="BMR78" s="236"/>
      <c r="BMS78" s="236"/>
      <c r="BMT78" s="236"/>
      <c r="BMU78" s="236"/>
      <c r="BMV78" s="236"/>
      <c r="BMW78" s="236"/>
      <c r="BMX78" s="236"/>
      <c r="BMY78" s="236"/>
      <c r="BMZ78" s="236"/>
      <c r="BNA78" s="236"/>
      <c r="BNB78" s="236"/>
      <c r="BNC78" s="236"/>
      <c r="BND78" s="236"/>
      <c r="BNE78" s="236"/>
      <c r="BNF78" s="236"/>
      <c r="BNG78" s="236"/>
      <c r="BNH78" s="236"/>
      <c r="BNI78" s="236"/>
      <c r="BNJ78" s="236"/>
      <c r="BNK78" s="236"/>
      <c r="BNL78" s="236"/>
      <c r="BNM78" s="236"/>
      <c r="BNN78" s="236"/>
      <c r="BNO78" s="236"/>
      <c r="BNP78" s="236"/>
      <c r="BNQ78" s="236"/>
      <c r="BNR78" s="236"/>
      <c r="BNS78" s="236"/>
      <c r="BNT78" s="236"/>
      <c r="BNU78" s="236"/>
      <c r="BNV78" s="236"/>
      <c r="BNW78" s="236"/>
      <c r="BNX78" s="236"/>
      <c r="BNY78" s="236"/>
      <c r="BNZ78" s="236"/>
      <c r="BOA78" s="236"/>
      <c r="BOB78" s="236"/>
    </row>
    <row r="79" spans="1:1744" ht="20.100000000000001" customHeight="1" x14ac:dyDescent="0.25">
      <c r="A79" s="100" t="s">
        <v>19</v>
      </c>
      <c r="B79" s="63"/>
      <c r="C79" s="17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236"/>
      <c r="BLW79" s="236"/>
      <c r="BLX79" s="236"/>
      <c r="BLY79" s="236"/>
      <c r="BLZ79" s="236"/>
      <c r="BMA79" s="236"/>
      <c r="BMB79" s="236"/>
      <c r="BMC79" s="236"/>
      <c r="BMD79" s="236"/>
      <c r="BME79" s="236"/>
      <c r="BMF79" s="236"/>
      <c r="BMG79" s="236"/>
      <c r="BMH79" s="236"/>
      <c r="BMI79" s="236"/>
      <c r="BMJ79" s="236"/>
      <c r="BMK79" s="236"/>
      <c r="BML79" s="236"/>
      <c r="BMM79" s="236"/>
      <c r="BMN79" s="236"/>
      <c r="BMO79" s="236"/>
      <c r="BMP79" s="236"/>
      <c r="BMQ79" s="236"/>
      <c r="BMR79" s="236"/>
      <c r="BMS79" s="236"/>
      <c r="BMT79" s="236"/>
      <c r="BMU79" s="236"/>
      <c r="BMV79" s="236"/>
      <c r="BMW79" s="236"/>
      <c r="BMX79" s="236"/>
      <c r="BMY79" s="236"/>
      <c r="BMZ79" s="236"/>
      <c r="BNA79" s="236"/>
      <c r="BNB79" s="236"/>
      <c r="BNC79" s="236"/>
      <c r="BND79" s="236"/>
      <c r="BNE79" s="236"/>
      <c r="BNF79" s="236"/>
      <c r="BNG79" s="236"/>
      <c r="BNH79" s="236"/>
      <c r="BNI79" s="236"/>
      <c r="BNJ79" s="236"/>
      <c r="BNK79" s="236"/>
      <c r="BNL79" s="236"/>
      <c r="BNM79" s="236"/>
      <c r="BNN79" s="236"/>
      <c r="BNO79" s="236"/>
      <c r="BNP79" s="236"/>
      <c r="BNQ79" s="236"/>
      <c r="BNR79" s="236"/>
      <c r="BNS79" s="236"/>
      <c r="BNT79" s="236"/>
      <c r="BNU79" s="236"/>
      <c r="BNV79" s="236"/>
      <c r="BNW79" s="236"/>
      <c r="BNX79" s="236"/>
      <c r="BNY79" s="236"/>
      <c r="BNZ79" s="236"/>
      <c r="BOA79" s="236"/>
      <c r="BOB79" s="236"/>
    </row>
    <row r="80" spans="1:1744" ht="20.100000000000001" customHeight="1" x14ac:dyDescent="0.3">
      <c r="A80" s="100" t="s">
        <v>20</v>
      </c>
      <c r="B80" s="63"/>
      <c r="C80" s="18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236"/>
      <c r="BLW80" s="236"/>
      <c r="BLX80" s="236"/>
      <c r="BLY80" s="236"/>
      <c r="BLZ80" s="236"/>
      <c r="BMA80" s="236"/>
      <c r="BMB80" s="236"/>
      <c r="BMC80" s="236"/>
      <c r="BMD80" s="236"/>
      <c r="BME80" s="236"/>
      <c r="BMF80" s="236"/>
      <c r="BMG80" s="236"/>
      <c r="BMH80" s="236"/>
      <c r="BMI80" s="236"/>
      <c r="BMJ80" s="236"/>
      <c r="BMK80" s="236"/>
      <c r="BML80" s="236"/>
      <c r="BMM80" s="236"/>
      <c r="BMN80" s="236"/>
      <c r="BMO80" s="236"/>
      <c r="BMP80" s="236"/>
      <c r="BMQ80" s="236"/>
      <c r="BMR80" s="236"/>
      <c r="BMS80" s="236"/>
      <c r="BMT80" s="236"/>
      <c r="BMU80" s="236"/>
      <c r="BMV80" s="236"/>
      <c r="BMW80" s="236"/>
      <c r="BMX80" s="236"/>
      <c r="BMY80" s="236"/>
      <c r="BMZ80" s="236"/>
      <c r="BNA80" s="236"/>
      <c r="BNB80" s="236"/>
      <c r="BNC80" s="236"/>
      <c r="BND80" s="236"/>
      <c r="BNE80" s="236"/>
      <c r="BNF80" s="236"/>
      <c r="BNG80" s="236"/>
      <c r="BNH80" s="236"/>
      <c r="BNI80" s="236"/>
      <c r="BNJ80" s="236"/>
      <c r="BNK80" s="236"/>
      <c r="BNL80" s="236"/>
      <c r="BNM80" s="236"/>
      <c r="BNN80" s="236"/>
      <c r="BNO80" s="236"/>
      <c r="BNP80" s="236"/>
      <c r="BNQ80" s="236"/>
      <c r="BNR80" s="236"/>
      <c r="BNS80" s="236"/>
      <c r="BNT80" s="236"/>
      <c r="BNU80" s="236"/>
      <c r="BNV80" s="236"/>
      <c r="BNW80" s="236"/>
      <c r="BNX80" s="236"/>
      <c r="BNY80" s="236"/>
      <c r="BNZ80" s="236"/>
      <c r="BOA80" s="236"/>
      <c r="BOB80" s="236"/>
    </row>
    <row r="81" spans="1:1744" ht="20.100000000000001" customHeight="1" x14ac:dyDescent="0.25">
      <c r="A81" s="100" t="s">
        <v>19</v>
      </c>
      <c r="B81" s="63"/>
      <c r="C81" s="17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236"/>
      <c r="BLW81" s="236"/>
      <c r="BLX81" s="236"/>
      <c r="BLY81" s="236"/>
      <c r="BLZ81" s="236"/>
      <c r="BMA81" s="236"/>
      <c r="BMB81" s="236"/>
      <c r="BMC81" s="236"/>
      <c r="BMD81" s="236"/>
      <c r="BME81" s="236"/>
      <c r="BMF81" s="236"/>
      <c r="BMG81" s="236"/>
      <c r="BMH81" s="236"/>
      <c r="BMI81" s="236"/>
      <c r="BMJ81" s="236"/>
      <c r="BMK81" s="236"/>
      <c r="BML81" s="236"/>
      <c r="BMM81" s="236"/>
      <c r="BMN81" s="236"/>
      <c r="BMO81" s="236"/>
      <c r="BMP81" s="236"/>
      <c r="BMQ81" s="236"/>
      <c r="BMR81" s="236"/>
      <c r="BMS81" s="236"/>
      <c r="BMT81" s="236"/>
      <c r="BMU81" s="236"/>
      <c r="BMV81" s="236"/>
      <c r="BMW81" s="236"/>
      <c r="BMX81" s="236"/>
      <c r="BMY81" s="236"/>
      <c r="BMZ81" s="236"/>
      <c r="BNA81" s="236"/>
      <c r="BNB81" s="236"/>
      <c r="BNC81" s="236"/>
      <c r="BND81" s="236"/>
      <c r="BNE81" s="236"/>
      <c r="BNF81" s="236"/>
      <c r="BNG81" s="236"/>
      <c r="BNH81" s="236"/>
      <c r="BNI81" s="236"/>
      <c r="BNJ81" s="236"/>
      <c r="BNK81" s="236"/>
      <c r="BNL81" s="236"/>
      <c r="BNM81" s="236"/>
      <c r="BNN81" s="236"/>
      <c r="BNO81" s="236"/>
      <c r="BNP81" s="236"/>
      <c r="BNQ81" s="236"/>
      <c r="BNR81" s="236"/>
      <c r="BNS81" s="236"/>
      <c r="BNT81" s="236"/>
      <c r="BNU81" s="236"/>
      <c r="BNV81" s="236"/>
      <c r="BNW81" s="236"/>
      <c r="BNX81" s="236"/>
      <c r="BNY81" s="236"/>
      <c r="BNZ81" s="236"/>
      <c r="BOA81" s="236"/>
      <c r="BOB81" s="236"/>
    </row>
    <row r="82" spans="1:1744" ht="20.100000000000001" customHeight="1" x14ac:dyDescent="0.3">
      <c r="A82" s="100" t="s">
        <v>20</v>
      </c>
      <c r="B82" s="63"/>
      <c r="C82" s="18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36"/>
      <c r="BLW82" s="236"/>
      <c r="BLX82" s="236"/>
      <c r="BLY82" s="236"/>
      <c r="BLZ82" s="236"/>
      <c r="BMA82" s="236"/>
      <c r="BMB82" s="236"/>
      <c r="BMC82" s="236"/>
      <c r="BMD82" s="236"/>
      <c r="BME82" s="236"/>
      <c r="BMF82" s="236"/>
      <c r="BMG82" s="236"/>
      <c r="BMH82" s="236"/>
      <c r="BMI82" s="236"/>
      <c r="BMJ82" s="236"/>
      <c r="BMK82" s="236"/>
      <c r="BML82" s="236"/>
      <c r="BMM82" s="236"/>
      <c r="BMN82" s="236"/>
      <c r="BMO82" s="236"/>
      <c r="BMP82" s="236"/>
      <c r="BMQ82" s="236"/>
      <c r="BMR82" s="236"/>
      <c r="BMS82" s="236"/>
      <c r="BMT82" s="236"/>
      <c r="BMU82" s="236"/>
      <c r="BMV82" s="236"/>
      <c r="BMW82" s="236"/>
      <c r="BMX82" s="236"/>
      <c r="BMY82" s="236"/>
      <c r="BMZ82" s="236"/>
      <c r="BNA82" s="236"/>
      <c r="BNB82" s="236"/>
      <c r="BNC82" s="236"/>
      <c r="BND82" s="236"/>
      <c r="BNE82" s="236"/>
      <c r="BNF82" s="236"/>
      <c r="BNG82" s="236"/>
      <c r="BNH82" s="236"/>
      <c r="BNI82" s="236"/>
      <c r="BNJ82" s="236"/>
      <c r="BNK82" s="236"/>
      <c r="BNL82" s="236"/>
      <c r="BNM82" s="236"/>
      <c r="BNN82" s="236"/>
      <c r="BNO82" s="236"/>
      <c r="BNP82" s="236"/>
      <c r="BNQ82" s="236"/>
      <c r="BNR82" s="236"/>
      <c r="BNS82" s="236"/>
      <c r="BNT82" s="236"/>
      <c r="BNU82" s="236"/>
      <c r="BNV82" s="236"/>
      <c r="BNW82" s="236"/>
      <c r="BNX82" s="236"/>
      <c r="BNY82" s="236"/>
      <c r="BNZ82" s="236"/>
      <c r="BOA82" s="236"/>
      <c r="BOB82" s="236"/>
    </row>
    <row r="83" spans="1:1744" ht="20.100000000000001" customHeight="1" x14ac:dyDescent="0.25">
      <c r="A83" s="100" t="s">
        <v>19</v>
      </c>
      <c r="B83" s="63"/>
      <c r="C83" s="17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236"/>
      <c r="BLW83" s="236"/>
      <c r="BLX83" s="236"/>
      <c r="BLY83" s="236"/>
      <c r="BLZ83" s="236"/>
      <c r="BMA83" s="236"/>
      <c r="BMB83" s="236"/>
      <c r="BMC83" s="236"/>
      <c r="BMD83" s="236"/>
      <c r="BME83" s="236"/>
      <c r="BMF83" s="236"/>
      <c r="BMG83" s="236"/>
      <c r="BMH83" s="236"/>
      <c r="BMI83" s="236"/>
      <c r="BMJ83" s="236"/>
      <c r="BMK83" s="236"/>
      <c r="BML83" s="236"/>
      <c r="BMM83" s="236"/>
      <c r="BMN83" s="236"/>
      <c r="BMO83" s="236"/>
      <c r="BMP83" s="236"/>
      <c r="BMQ83" s="236"/>
      <c r="BMR83" s="236"/>
      <c r="BMS83" s="236"/>
      <c r="BMT83" s="236"/>
      <c r="BMU83" s="236"/>
      <c r="BMV83" s="236"/>
      <c r="BMW83" s="236"/>
      <c r="BMX83" s="236"/>
      <c r="BMY83" s="236"/>
      <c r="BMZ83" s="236"/>
      <c r="BNA83" s="236"/>
      <c r="BNB83" s="236"/>
      <c r="BNC83" s="236"/>
      <c r="BND83" s="236"/>
      <c r="BNE83" s="236"/>
      <c r="BNF83" s="236"/>
      <c r="BNG83" s="236"/>
      <c r="BNH83" s="236"/>
      <c r="BNI83" s="236"/>
      <c r="BNJ83" s="236"/>
      <c r="BNK83" s="236"/>
      <c r="BNL83" s="236"/>
      <c r="BNM83" s="236"/>
      <c r="BNN83" s="236"/>
      <c r="BNO83" s="236"/>
      <c r="BNP83" s="236"/>
      <c r="BNQ83" s="236"/>
      <c r="BNR83" s="236"/>
      <c r="BNS83" s="236"/>
      <c r="BNT83" s="236"/>
      <c r="BNU83" s="236"/>
      <c r="BNV83" s="236"/>
      <c r="BNW83" s="236"/>
      <c r="BNX83" s="236"/>
      <c r="BNY83" s="236"/>
      <c r="BNZ83" s="236"/>
      <c r="BOA83" s="236"/>
      <c r="BOB83" s="236"/>
    </row>
    <row r="84" spans="1:1744" ht="20.100000000000001" customHeight="1" x14ac:dyDescent="0.25">
      <c r="A84" s="100" t="s">
        <v>20</v>
      </c>
      <c r="B84" s="63"/>
      <c r="C84" s="18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236"/>
      <c r="BLW84" s="236"/>
      <c r="BLX84" s="236"/>
      <c r="BLY84" s="236"/>
      <c r="BLZ84" s="236"/>
      <c r="BMA84" s="236"/>
      <c r="BMB84" s="236"/>
      <c r="BMC84" s="236"/>
      <c r="BMD84" s="236"/>
      <c r="BME84" s="236"/>
      <c r="BMF84" s="236"/>
      <c r="BMG84" s="236"/>
      <c r="BMH84" s="236"/>
      <c r="BMI84" s="236"/>
      <c r="BMJ84" s="236"/>
      <c r="BMK84" s="236"/>
      <c r="BML84" s="236"/>
      <c r="BMM84" s="236"/>
      <c r="BMN84" s="236"/>
      <c r="BMO84" s="236"/>
      <c r="BMP84" s="236"/>
      <c r="BMQ84" s="236"/>
      <c r="BMR84" s="236"/>
      <c r="BMS84" s="236"/>
      <c r="BMT84" s="236"/>
      <c r="BMU84" s="236"/>
      <c r="BMV84" s="236"/>
      <c r="BMW84" s="236"/>
      <c r="BMX84" s="236"/>
      <c r="BMY84" s="236"/>
      <c r="BMZ84" s="236"/>
      <c r="BNA84" s="236"/>
      <c r="BNB84" s="236"/>
      <c r="BNC84" s="236"/>
      <c r="BND84" s="236"/>
      <c r="BNE84" s="236"/>
      <c r="BNF84" s="236"/>
      <c r="BNG84" s="236"/>
      <c r="BNH84" s="236"/>
      <c r="BNI84" s="236"/>
      <c r="BNJ84" s="236"/>
      <c r="BNK84" s="236"/>
      <c r="BNL84" s="236"/>
      <c r="BNM84" s="236"/>
      <c r="BNN84" s="236"/>
      <c r="BNO84" s="236"/>
      <c r="BNP84" s="236"/>
      <c r="BNQ84" s="236"/>
      <c r="BNR84" s="236"/>
      <c r="BNS84" s="236"/>
      <c r="BNT84" s="236"/>
      <c r="BNU84" s="236"/>
      <c r="BNV84" s="236"/>
      <c r="BNW84" s="236"/>
      <c r="BNX84" s="236"/>
      <c r="BNY84" s="236"/>
      <c r="BNZ84" s="236"/>
      <c r="BOA84" s="236"/>
      <c r="BOB84" s="236"/>
    </row>
    <row r="85" spans="1:1744" ht="20.100000000000001" customHeight="1" x14ac:dyDescent="0.25">
      <c r="A85" s="100" t="s">
        <v>19</v>
      </c>
      <c r="B85" s="63"/>
      <c r="C85" s="17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236"/>
      <c r="BLW85" s="236"/>
      <c r="BLX85" s="236"/>
      <c r="BLY85" s="236"/>
      <c r="BLZ85" s="236"/>
      <c r="BMA85" s="236"/>
      <c r="BMB85" s="236"/>
      <c r="BMC85" s="236"/>
      <c r="BMD85" s="236"/>
      <c r="BME85" s="236"/>
      <c r="BMF85" s="236"/>
      <c r="BMG85" s="236"/>
      <c r="BMH85" s="236"/>
      <c r="BMI85" s="236"/>
      <c r="BMJ85" s="236"/>
      <c r="BMK85" s="236"/>
      <c r="BML85" s="236"/>
      <c r="BMM85" s="236"/>
      <c r="BMN85" s="236"/>
      <c r="BMO85" s="236"/>
      <c r="BMP85" s="236"/>
      <c r="BMQ85" s="236"/>
      <c r="BMR85" s="236"/>
      <c r="BMS85" s="236"/>
      <c r="BMT85" s="236"/>
      <c r="BMU85" s="236"/>
      <c r="BMV85" s="236"/>
      <c r="BMW85" s="236"/>
      <c r="BMX85" s="236"/>
      <c r="BMY85" s="236"/>
      <c r="BMZ85" s="236"/>
      <c r="BNA85" s="236"/>
      <c r="BNB85" s="236"/>
      <c r="BNC85" s="236"/>
      <c r="BND85" s="236"/>
      <c r="BNE85" s="236"/>
      <c r="BNF85" s="236"/>
      <c r="BNG85" s="236"/>
      <c r="BNH85" s="236"/>
      <c r="BNI85" s="236"/>
      <c r="BNJ85" s="236"/>
      <c r="BNK85" s="236"/>
      <c r="BNL85" s="236"/>
      <c r="BNM85" s="236"/>
      <c r="BNN85" s="236"/>
      <c r="BNO85" s="236"/>
      <c r="BNP85" s="236"/>
      <c r="BNQ85" s="236"/>
      <c r="BNR85" s="236"/>
      <c r="BNS85" s="236"/>
      <c r="BNT85" s="236"/>
      <c r="BNU85" s="236"/>
      <c r="BNV85" s="236"/>
      <c r="BNW85" s="236"/>
      <c r="BNX85" s="236"/>
      <c r="BNY85" s="236"/>
      <c r="BNZ85" s="236"/>
      <c r="BOA85" s="236"/>
      <c r="BOB85" s="236"/>
    </row>
    <row r="86" spans="1:1744" ht="20.100000000000001" customHeight="1" x14ac:dyDescent="0.3">
      <c r="A86" s="100" t="s">
        <v>20</v>
      </c>
      <c r="B86" s="63"/>
      <c r="C86" s="18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36"/>
      <c r="BLW86" s="236"/>
      <c r="BLX86" s="236"/>
      <c r="BLY86" s="236"/>
      <c r="BLZ86" s="236"/>
      <c r="BMA86" s="236"/>
      <c r="BMB86" s="236"/>
      <c r="BMC86" s="236"/>
      <c r="BMD86" s="236"/>
      <c r="BME86" s="236"/>
      <c r="BMF86" s="236"/>
      <c r="BMG86" s="236"/>
      <c r="BMH86" s="236"/>
      <c r="BMI86" s="236"/>
      <c r="BMJ86" s="236"/>
      <c r="BMK86" s="236"/>
      <c r="BML86" s="236"/>
      <c r="BMM86" s="236"/>
      <c r="BMN86" s="236"/>
      <c r="BMO86" s="236"/>
      <c r="BMP86" s="236"/>
      <c r="BMQ86" s="236"/>
      <c r="BMR86" s="236"/>
      <c r="BMS86" s="236"/>
      <c r="BMT86" s="236"/>
      <c r="BMU86" s="236"/>
      <c r="BMV86" s="236"/>
      <c r="BMW86" s="236"/>
      <c r="BMX86" s="236"/>
      <c r="BMY86" s="236"/>
      <c r="BMZ86" s="236"/>
      <c r="BNA86" s="236"/>
      <c r="BNB86" s="236"/>
      <c r="BNC86" s="236"/>
      <c r="BND86" s="236"/>
      <c r="BNE86" s="236"/>
      <c r="BNF86" s="236"/>
      <c r="BNG86" s="236"/>
      <c r="BNH86" s="236"/>
      <c r="BNI86" s="236"/>
      <c r="BNJ86" s="236"/>
      <c r="BNK86" s="236"/>
      <c r="BNL86" s="236"/>
      <c r="BNM86" s="236"/>
      <c r="BNN86" s="236"/>
      <c r="BNO86" s="236"/>
      <c r="BNP86" s="236"/>
      <c r="BNQ86" s="236"/>
      <c r="BNR86" s="236"/>
      <c r="BNS86" s="236"/>
      <c r="BNT86" s="236"/>
      <c r="BNU86" s="236"/>
      <c r="BNV86" s="236"/>
      <c r="BNW86" s="236"/>
      <c r="BNX86" s="236"/>
      <c r="BNY86" s="236"/>
      <c r="BNZ86" s="236"/>
      <c r="BOA86" s="236"/>
      <c r="BOB86" s="236"/>
    </row>
    <row r="87" spans="1:1744" ht="20.100000000000001" customHeight="1" x14ac:dyDescent="0.25">
      <c r="A87" s="100" t="s">
        <v>19</v>
      </c>
      <c r="B87" s="63"/>
      <c r="C87" s="17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236"/>
      <c r="BLW87" s="236"/>
      <c r="BLX87" s="236"/>
      <c r="BLY87" s="236"/>
      <c r="BLZ87" s="236"/>
      <c r="BMA87" s="236"/>
      <c r="BMB87" s="236"/>
      <c r="BMC87" s="236"/>
      <c r="BMD87" s="236"/>
      <c r="BME87" s="236"/>
      <c r="BMF87" s="236"/>
      <c r="BMG87" s="236"/>
      <c r="BMH87" s="236"/>
      <c r="BMI87" s="236"/>
      <c r="BMJ87" s="236"/>
      <c r="BMK87" s="236"/>
      <c r="BML87" s="236"/>
      <c r="BMM87" s="236"/>
      <c r="BMN87" s="236"/>
      <c r="BMO87" s="236"/>
      <c r="BMP87" s="236"/>
      <c r="BMQ87" s="236"/>
      <c r="BMR87" s="236"/>
      <c r="BMS87" s="236"/>
      <c r="BMT87" s="236"/>
      <c r="BMU87" s="236"/>
      <c r="BMV87" s="236"/>
      <c r="BMW87" s="236"/>
      <c r="BMX87" s="236"/>
      <c r="BMY87" s="236"/>
      <c r="BMZ87" s="236"/>
      <c r="BNA87" s="236"/>
      <c r="BNB87" s="236"/>
      <c r="BNC87" s="236"/>
      <c r="BND87" s="236"/>
      <c r="BNE87" s="236"/>
      <c r="BNF87" s="236"/>
      <c r="BNG87" s="236"/>
      <c r="BNH87" s="236"/>
      <c r="BNI87" s="236"/>
      <c r="BNJ87" s="236"/>
      <c r="BNK87" s="236"/>
      <c r="BNL87" s="236"/>
      <c r="BNM87" s="236"/>
      <c r="BNN87" s="236"/>
      <c r="BNO87" s="236"/>
      <c r="BNP87" s="236"/>
      <c r="BNQ87" s="236"/>
      <c r="BNR87" s="236"/>
      <c r="BNS87" s="236"/>
      <c r="BNT87" s="236"/>
      <c r="BNU87" s="236"/>
      <c r="BNV87" s="236"/>
      <c r="BNW87" s="236"/>
      <c r="BNX87" s="236"/>
      <c r="BNY87" s="236"/>
      <c r="BNZ87" s="236"/>
      <c r="BOA87" s="236"/>
      <c r="BOB87" s="236"/>
    </row>
    <row r="88" spans="1:1744" ht="20.100000000000001" customHeight="1" x14ac:dyDescent="0.25">
      <c r="A88" s="100" t="s">
        <v>20</v>
      </c>
      <c r="B88" s="63"/>
      <c r="C88" s="18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236"/>
      <c r="BLW88" s="236"/>
      <c r="BLX88" s="236"/>
      <c r="BLY88" s="236"/>
      <c r="BLZ88" s="236"/>
      <c r="BMA88" s="236"/>
      <c r="BMB88" s="236"/>
      <c r="BMC88" s="236"/>
      <c r="BMD88" s="236"/>
      <c r="BME88" s="236"/>
      <c r="BMF88" s="236"/>
      <c r="BMG88" s="236"/>
      <c r="BMH88" s="236"/>
      <c r="BMI88" s="236"/>
      <c r="BMJ88" s="236"/>
      <c r="BMK88" s="236"/>
      <c r="BML88" s="236"/>
      <c r="BMM88" s="236"/>
      <c r="BMN88" s="236"/>
      <c r="BMO88" s="236"/>
      <c r="BMP88" s="236"/>
      <c r="BMQ88" s="236"/>
      <c r="BMR88" s="236"/>
      <c r="BMS88" s="236"/>
      <c r="BMT88" s="236"/>
      <c r="BMU88" s="236"/>
      <c r="BMV88" s="236"/>
      <c r="BMW88" s="236"/>
      <c r="BMX88" s="236"/>
      <c r="BMY88" s="236"/>
      <c r="BMZ88" s="236"/>
      <c r="BNA88" s="236"/>
      <c r="BNB88" s="236"/>
      <c r="BNC88" s="236"/>
      <c r="BND88" s="236"/>
      <c r="BNE88" s="236"/>
      <c r="BNF88" s="236"/>
      <c r="BNG88" s="236"/>
      <c r="BNH88" s="236"/>
      <c r="BNI88" s="236"/>
      <c r="BNJ88" s="236"/>
      <c r="BNK88" s="236"/>
      <c r="BNL88" s="236"/>
      <c r="BNM88" s="236"/>
      <c r="BNN88" s="236"/>
      <c r="BNO88" s="236"/>
      <c r="BNP88" s="236"/>
      <c r="BNQ88" s="236"/>
      <c r="BNR88" s="236"/>
      <c r="BNS88" s="236"/>
      <c r="BNT88" s="236"/>
      <c r="BNU88" s="236"/>
      <c r="BNV88" s="236"/>
      <c r="BNW88" s="236"/>
      <c r="BNX88" s="236"/>
      <c r="BNY88" s="236"/>
      <c r="BNZ88" s="236"/>
      <c r="BOA88" s="236"/>
      <c r="BOB88" s="236"/>
    </row>
    <row r="89" spans="1:1744" ht="20.100000000000001" customHeight="1" x14ac:dyDescent="0.25">
      <c r="A89" s="100" t="s">
        <v>19</v>
      </c>
      <c r="B89" s="63"/>
      <c r="C89" s="17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236"/>
      <c r="BLW89" s="236"/>
      <c r="BLX89" s="236"/>
      <c r="BLY89" s="236"/>
      <c r="BLZ89" s="236"/>
      <c r="BMA89" s="236"/>
      <c r="BMB89" s="236"/>
      <c r="BMC89" s="236"/>
      <c r="BMD89" s="236"/>
      <c r="BME89" s="236"/>
      <c r="BMF89" s="236"/>
      <c r="BMG89" s="236"/>
      <c r="BMH89" s="236"/>
      <c r="BMI89" s="236"/>
      <c r="BMJ89" s="236"/>
      <c r="BMK89" s="236"/>
      <c r="BML89" s="236"/>
      <c r="BMM89" s="236"/>
      <c r="BMN89" s="236"/>
      <c r="BMO89" s="236"/>
      <c r="BMP89" s="236"/>
      <c r="BMQ89" s="236"/>
      <c r="BMR89" s="236"/>
      <c r="BMS89" s="236"/>
      <c r="BMT89" s="236"/>
      <c r="BMU89" s="236"/>
      <c r="BMV89" s="236"/>
      <c r="BMW89" s="236"/>
      <c r="BMX89" s="236"/>
      <c r="BMY89" s="236"/>
      <c r="BMZ89" s="236"/>
      <c r="BNA89" s="236"/>
      <c r="BNB89" s="236"/>
      <c r="BNC89" s="236"/>
      <c r="BND89" s="236"/>
      <c r="BNE89" s="236"/>
      <c r="BNF89" s="236"/>
      <c r="BNG89" s="236"/>
      <c r="BNH89" s="236"/>
      <c r="BNI89" s="236"/>
      <c r="BNJ89" s="236"/>
      <c r="BNK89" s="236"/>
      <c r="BNL89" s="236"/>
      <c r="BNM89" s="236"/>
      <c r="BNN89" s="236"/>
      <c r="BNO89" s="236"/>
      <c r="BNP89" s="236"/>
      <c r="BNQ89" s="236"/>
      <c r="BNR89" s="236"/>
      <c r="BNS89" s="236"/>
      <c r="BNT89" s="236"/>
      <c r="BNU89" s="236"/>
      <c r="BNV89" s="236"/>
      <c r="BNW89" s="236"/>
      <c r="BNX89" s="236"/>
      <c r="BNY89" s="236"/>
      <c r="BNZ89" s="236"/>
      <c r="BOA89" s="236"/>
      <c r="BOB89" s="236"/>
    </row>
    <row r="90" spans="1:1744" ht="20.100000000000001" customHeight="1" x14ac:dyDescent="0.3">
      <c r="A90" s="100" t="s">
        <v>20</v>
      </c>
      <c r="B90" s="63"/>
      <c r="C90" s="18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236"/>
      <c r="BLW90" s="236"/>
      <c r="BLX90" s="236"/>
      <c r="BLY90" s="236"/>
      <c r="BLZ90" s="236"/>
      <c r="BMA90" s="236"/>
      <c r="BMB90" s="236"/>
      <c r="BMC90" s="236"/>
      <c r="BMD90" s="236"/>
      <c r="BME90" s="236"/>
      <c r="BMF90" s="236"/>
      <c r="BMG90" s="236"/>
      <c r="BMH90" s="236"/>
      <c r="BMI90" s="236"/>
      <c r="BMJ90" s="236"/>
      <c r="BMK90" s="236"/>
      <c r="BML90" s="236"/>
      <c r="BMM90" s="236"/>
      <c r="BMN90" s="236"/>
      <c r="BMO90" s="236"/>
      <c r="BMP90" s="236"/>
      <c r="BMQ90" s="236"/>
      <c r="BMR90" s="236"/>
      <c r="BMS90" s="236"/>
      <c r="BMT90" s="236"/>
      <c r="BMU90" s="236"/>
      <c r="BMV90" s="236"/>
      <c r="BMW90" s="236"/>
      <c r="BMX90" s="236"/>
      <c r="BMY90" s="236"/>
      <c r="BMZ90" s="236"/>
      <c r="BNA90" s="236"/>
      <c r="BNB90" s="236"/>
      <c r="BNC90" s="236"/>
      <c r="BND90" s="236"/>
      <c r="BNE90" s="236"/>
      <c r="BNF90" s="236"/>
      <c r="BNG90" s="236"/>
      <c r="BNH90" s="236"/>
      <c r="BNI90" s="236"/>
      <c r="BNJ90" s="236"/>
      <c r="BNK90" s="236"/>
      <c r="BNL90" s="236"/>
      <c r="BNM90" s="236"/>
      <c r="BNN90" s="236"/>
      <c r="BNO90" s="236"/>
      <c r="BNP90" s="236"/>
      <c r="BNQ90" s="236"/>
      <c r="BNR90" s="236"/>
      <c r="BNS90" s="236"/>
      <c r="BNT90" s="236"/>
      <c r="BNU90" s="236"/>
      <c r="BNV90" s="236"/>
      <c r="BNW90" s="236"/>
      <c r="BNX90" s="236"/>
      <c r="BNY90" s="236"/>
      <c r="BNZ90" s="236"/>
      <c r="BOA90" s="236"/>
      <c r="BOB90" s="236"/>
    </row>
    <row r="91" spans="1:1744" ht="20.100000000000001" customHeight="1" x14ac:dyDescent="0.25">
      <c r="A91" s="100" t="s">
        <v>19</v>
      </c>
      <c r="B91" s="63"/>
      <c r="C91" s="17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236"/>
      <c r="BLW91" s="236"/>
      <c r="BLX91" s="236"/>
      <c r="BLY91" s="236"/>
      <c r="BLZ91" s="236"/>
      <c r="BMA91" s="236"/>
      <c r="BMB91" s="236"/>
      <c r="BMC91" s="236"/>
      <c r="BMD91" s="236"/>
      <c r="BME91" s="236"/>
      <c r="BMF91" s="236"/>
      <c r="BMG91" s="236"/>
      <c r="BMH91" s="236"/>
      <c r="BMI91" s="236"/>
      <c r="BMJ91" s="236"/>
      <c r="BMK91" s="236"/>
      <c r="BML91" s="236"/>
      <c r="BMM91" s="236"/>
      <c r="BMN91" s="236"/>
      <c r="BMO91" s="236"/>
      <c r="BMP91" s="236"/>
      <c r="BMQ91" s="236"/>
      <c r="BMR91" s="236"/>
      <c r="BMS91" s="236"/>
      <c r="BMT91" s="236"/>
      <c r="BMU91" s="236"/>
      <c r="BMV91" s="236"/>
      <c r="BMW91" s="236"/>
      <c r="BMX91" s="236"/>
      <c r="BMY91" s="236"/>
      <c r="BMZ91" s="236"/>
      <c r="BNA91" s="236"/>
      <c r="BNB91" s="236"/>
      <c r="BNC91" s="236"/>
      <c r="BND91" s="236"/>
      <c r="BNE91" s="236"/>
      <c r="BNF91" s="236"/>
      <c r="BNG91" s="236"/>
      <c r="BNH91" s="236"/>
      <c r="BNI91" s="236"/>
      <c r="BNJ91" s="236"/>
      <c r="BNK91" s="236"/>
      <c r="BNL91" s="236"/>
      <c r="BNM91" s="236"/>
      <c r="BNN91" s="236"/>
      <c r="BNO91" s="236"/>
      <c r="BNP91" s="236"/>
      <c r="BNQ91" s="236"/>
      <c r="BNR91" s="236"/>
      <c r="BNS91" s="236"/>
      <c r="BNT91" s="236"/>
      <c r="BNU91" s="236"/>
      <c r="BNV91" s="236"/>
      <c r="BNW91" s="236"/>
      <c r="BNX91" s="236"/>
      <c r="BNY91" s="236"/>
      <c r="BNZ91" s="236"/>
      <c r="BOA91" s="236"/>
      <c r="BOB91" s="236"/>
    </row>
    <row r="92" spans="1:1744" ht="20.100000000000001" customHeight="1" x14ac:dyDescent="0.3">
      <c r="A92" s="100" t="s">
        <v>20</v>
      </c>
      <c r="B92" s="63"/>
      <c r="C92" s="18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36"/>
      <c r="BLW92" s="236"/>
      <c r="BLX92" s="236"/>
      <c r="BLY92" s="236"/>
      <c r="BLZ92" s="236"/>
      <c r="BMA92" s="236"/>
      <c r="BMB92" s="236"/>
      <c r="BMC92" s="236"/>
      <c r="BMD92" s="236"/>
      <c r="BME92" s="236"/>
      <c r="BMF92" s="236"/>
      <c r="BMG92" s="236"/>
      <c r="BMH92" s="236"/>
      <c r="BMI92" s="236"/>
      <c r="BMJ92" s="236"/>
      <c r="BMK92" s="236"/>
      <c r="BML92" s="236"/>
      <c r="BMM92" s="236"/>
      <c r="BMN92" s="236"/>
      <c r="BMO92" s="236"/>
      <c r="BMP92" s="236"/>
      <c r="BMQ92" s="236"/>
      <c r="BMR92" s="236"/>
      <c r="BMS92" s="236"/>
      <c r="BMT92" s="236"/>
      <c r="BMU92" s="236"/>
      <c r="BMV92" s="236"/>
      <c r="BMW92" s="236"/>
      <c r="BMX92" s="236"/>
      <c r="BMY92" s="236"/>
      <c r="BMZ92" s="236"/>
      <c r="BNA92" s="236"/>
      <c r="BNB92" s="236"/>
      <c r="BNC92" s="236"/>
      <c r="BND92" s="236"/>
      <c r="BNE92" s="236"/>
      <c r="BNF92" s="236"/>
      <c r="BNG92" s="236"/>
      <c r="BNH92" s="236"/>
      <c r="BNI92" s="236"/>
      <c r="BNJ92" s="236"/>
      <c r="BNK92" s="236"/>
      <c r="BNL92" s="236"/>
      <c r="BNM92" s="236"/>
      <c r="BNN92" s="236"/>
      <c r="BNO92" s="236"/>
      <c r="BNP92" s="236"/>
      <c r="BNQ92" s="236"/>
      <c r="BNR92" s="236"/>
      <c r="BNS92" s="236"/>
      <c r="BNT92" s="236"/>
      <c r="BNU92" s="236"/>
      <c r="BNV92" s="236"/>
      <c r="BNW92" s="236"/>
      <c r="BNX92" s="236"/>
      <c r="BNY92" s="236"/>
      <c r="BNZ92" s="236"/>
      <c r="BOA92" s="236"/>
      <c r="BOB92" s="236"/>
    </row>
    <row r="93" spans="1:1744" ht="20.100000000000001" customHeight="1" x14ac:dyDescent="0.25">
      <c r="A93" s="100" t="s">
        <v>19</v>
      </c>
      <c r="B93" s="63"/>
      <c r="C93" s="17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236"/>
      <c r="BLW93" s="236"/>
      <c r="BLX93" s="236"/>
      <c r="BLY93" s="236"/>
      <c r="BLZ93" s="236"/>
      <c r="BMA93" s="236"/>
      <c r="BMB93" s="236"/>
      <c r="BMC93" s="236"/>
      <c r="BMD93" s="236"/>
      <c r="BME93" s="236"/>
      <c r="BMF93" s="236"/>
      <c r="BMG93" s="236"/>
      <c r="BMH93" s="236"/>
      <c r="BMI93" s="236"/>
      <c r="BMJ93" s="236"/>
      <c r="BMK93" s="236"/>
      <c r="BML93" s="236"/>
      <c r="BMM93" s="236"/>
      <c r="BMN93" s="236"/>
      <c r="BMO93" s="236"/>
      <c r="BMP93" s="236"/>
      <c r="BMQ93" s="236"/>
      <c r="BMR93" s="236"/>
      <c r="BMS93" s="236"/>
      <c r="BMT93" s="236"/>
      <c r="BMU93" s="236"/>
      <c r="BMV93" s="236"/>
      <c r="BMW93" s="236"/>
      <c r="BMX93" s="236"/>
      <c r="BMY93" s="236"/>
      <c r="BMZ93" s="236"/>
      <c r="BNA93" s="236"/>
      <c r="BNB93" s="236"/>
      <c r="BNC93" s="236"/>
      <c r="BND93" s="236"/>
      <c r="BNE93" s="236"/>
      <c r="BNF93" s="236"/>
      <c r="BNG93" s="236"/>
      <c r="BNH93" s="236"/>
      <c r="BNI93" s="236"/>
      <c r="BNJ93" s="236"/>
      <c r="BNK93" s="236"/>
      <c r="BNL93" s="236"/>
      <c r="BNM93" s="236"/>
      <c r="BNN93" s="236"/>
      <c r="BNO93" s="236"/>
      <c r="BNP93" s="236"/>
      <c r="BNQ93" s="236"/>
      <c r="BNR93" s="236"/>
      <c r="BNS93" s="236"/>
      <c r="BNT93" s="236"/>
      <c r="BNU93" s="236"/>
      <c r="BNV93" s="236"/>
      <c r="BNW93" s="236"/>
      <c r="BNX93" s="236"/>
      <c r="BNY93" s="236"/>
      <c r="BNZ93" s="236"/>
      <c r="BOA93" s="236"/>
      <c r="BOB93" s="236"/>
    </row>
    <row r="94" spans="1:1744" ht="20.100000000000001" customHeight="1" x14ac:dyDescent="0.25">
      <c r="A94" s="100" t="s">
        <v>20</v>
      </c>
      <c r="B94" s="63"/>
      <c r="C94" s="18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236"/>
      <c r="BLW94" s="236"/>
      <c r="BLX94" s="236"/>
      <c r="BLY94" s="236"/>
      <c r="BLZ94" s="236"/>
      <c r="BMA94" s="236"/>
      <c r="BMB94" s="236"/>
      <c r="BMC94" s="236"/>
      <c r="BMD94" s="236"/>
      <c r="BME94" s="236"/>
      <c r="BMF94" s="236"/>
      <c r="BMG94" s="236"/>
      <c r="BMH94" s="236"/>
      <c r="BMI94" s="236"/>
      <c r="BMJ94" s="236"/>
      <c r="BMK94" s="236"/>
      <c r="BML94" s="236"/>
      <c r="BMM94" s="236"/>
      <c r="BMN94" s="236"/>
      <c r="BMO94" s="236"/>
      <c r="BMP94" s="236"/>
      <c r="BMQ94" s="236"/>
      <c r="BMR94" s="236"/>
      <c r="BMS94" s="236"/>
      <c r="BMT94" s="236"/>
      <c r="BMU94" s="236"/>
      <c r="BMV94" s="236"/>
      <c r="BMW94" s="236"/>
      <c r="BMX94" s="236"/>
      <c r="BMY94" s="236"/>
      <c r="BMZ94" s="236"/>
      <c r="BNA94" s="236"/>
      <c r="BNB94" s="236"/>
      <c r="BNC94" s="236"/>
      <c r="BND94" s="236"/>
      <c r="BNE94" s="236"/>
      <c r="BNF94" s="236"/>
      <c r="BNG94" s="236"/>
      <c r="BNH94" s="236"/>
      <c r="BNI94" s="236"/>
      <c r="BNJ94" s="236"/>
      <c r="BNK94" s="236"/>
      <c r="BNL94" s="236"/>
      <c r="BNM94" s="236"/>
      <c r="BNN94" s="236"/>
      <c r="BNO94" s="236"/>
      <c r="BNP94" s="236"/>
      <c r="BNQ94" s="236"/>
      <c r="BNR94" s="236"/>
      <c r="BNS94" s="236"/>
      <c r="BNT94" s="236"/>
      <c r="BNU94" s="236"/>
      <c r="BNV94" s="236"/>
      <c r="BNW94" s="236"/>
      <c r="BNX94" s="236"/>
      <c r="BNY94" s="236"/>
      <c r="BNZ94" s="236"/>
      <c r="BOA94" s="236"/>
      <c r="BOB94" s="236"/>
    </row>
    <row r="95" spans="1:1744" ht="20.100000000000001" customHeight="1" x14ac:dyDescent="0.25">
      <c r="B95" s="96"/>
      <c r="C95" s="197" t="s">
        <v>9</v>
      </c>
      <c r="D95" s="198"/>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199"/>
      <c r="D96" s="200"/>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193" t="s">
        <v>10</v>
      </c>
      <c r="D97" s="194"/>
      <c r="E97" s="118">
        <f>SUM(E16,E18,E20,E22,E24,E26,E28,E30,E32,E34,E36,E38,E40,E42,E44,E46,E48,E50,E52,E54,E56,E58,E60,E62,E64,E66,E68,E70,E72,E74,E76,E78,E80,E82,E84,E86,E88,E90,E92,E94)</f>
        <v>9</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195"/>
      <c r="D98" s="196"/>
      <c r="E98" s="122" t="str">
        <f xml:space="preserve"> setValueToTime(E97)</f>
        <v>0h45min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137" activePane="bottomLeft" state="frozen"/>
      <selection activeCell="BC13" sqref="BC13"/>
      <selection pane="bottomLeft" activeCell="D10" sqref="D10"/>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01" t="s">
        <v>15</v>
      </c>
      <c r="F3" s="202"/>
      <c r="G3" s="46"/>
    </row>
    <row r="4" spans="1:7" s="52" customFormat="1" ht="27.75" thickBot="1" x14ac:dyDescent="0.35">
      <c r="A4" s="241" t="s">
        <v>121</v>
      </c>
      <c r="B4" s="54">
        <v>12</v>
      </c>
      <c r="C4" s="152" t="str">
        <f xml:space="preserve"> IF(B4="","",setValueToTime(B4))</f>
        <v>1h</v>
      </c>
      <c r="D4" s="165" t="s">
        <v>133</v>
      </c>
      <c r="E4" s="203"/>
      <c r="F4" s="204"/>
      <c r="G4" s="51"/>
    </row>
    <row r="5" spans="1:7" s="52" customFormat="1" ht="15" thickBot="1" x14ac:dyDescent="0.35">
      <c r="A5" s="111" t="s">
        <v>28</v>
      </c>
      <c r="B5" s="84">
        <f>SUM(B4:B4)</f>
        <v>12</v>
      </c>
      <c r="C5" s="111" t="str">
        <f xml:space="preserve"> setValueToTime(B5)</f>
        <v>1h</v>
      </c>
      <c r="D5" s="120"/>
      <c r="E5" s="207"/>
      <c r="F5" s="208"/>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01" t="s">
        <v>15</v>
      </c>
      <c r="F8" s="202"/>
      <c r="G8" s="46"/>
    </row>
    <row r="9" spans="1:7" s="52" customFormat="1" ht="27" x14ac:dyDescent="0.3">
      <c r="A9" s="48" t="s">
        <v>94</v>
      </c>
      <c r="B9" s="49">
        <v>37</v>
      </c>
      <c r="C9" s="152" t="str">
        <f xml:space="preserve"> IF(B9="","",setValueToTime(B9))</f>
        <v>3h5min</v>
      </c>
      <c r="D9" s="165" t="s">
        <v>163</v>
      </c>
      <c r="E9" s="203"/>
      <c r="F9" s="204"/>
      <c r="G9" s="51"/>
    </row>
    <row r="10" spans="1:7" s="52" customFormat="1" ht="15" thickBot="1" x14ac:dyDescent="0.35">
      <c r="A10" s="53" t="s">
        <v>93</v>
      </c>
      <c r="B10" s="54">
        <v>1</v>
      </c>
      <c r="C10" s="155" t="str">
        <f t="shared" ref="C10" si="0" xml:space="preserve"> IF(B10="","",setValueToTime(B10))</f>
        <v>0h5min</v>
      </c>
      <c r="D10" s="166" t="s">
        <v>118</v>
      </c>
      <c r="E10" s="209"/>
      <c r="F10" s="210"/>
      <c r="G10" s="51"/>
    </row>
    <row r="11" spans="1:7" s="52" customFormat="1" ht="15" thickBot="1" x14ac:dyDescent="0.35">
      <c r="A11" s="111" t="s">
        <v>28</v>
      </c>
      <c r="B11" s="84">
        <f>SUM(B9:B10)</f>
        <v>38</v>
      </c>
      <c r="C11" s="111" t="str">
        <f xml:space="preserve"> setValueToTime(B11)</f>
        <v>3h10min</v>
      </c>
      <c r="D11" s="120"/>
      <c r="E11" s="207"/>
      <c r="F11" s="208"/>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01" t="s">
        <v>15</v>
      </c>
      <c r="F14" s="202"/>
      <c r="G14" s="46"/>
    </row>
    <row r="15" spans="1:7" s="52" customFormat="1" x14ac:dyDescent="0.3">
      <c r="A15" s="48" t="s">
        <v>115</v>
      </c>
      <c r="B15" s="49">
        <v>47</v>
      </c>
      <c r="C15" s="152" t="str">
        <f xml:space="preserve"> IF(B15="","",setValueToTime(B15))</f>
        <v>3h55min</v>
      </c>
      <c r="D15" s="165" t="s">
        <v>154</v>
      </c>
      <c r="E15" s="203"/>
      <c r="F15" s="204"/>
      <c r="G15" s="51"/>
    </row>
    <row r="16" spans="1:7" s="52" customFormat="1" ht="15" thickBot="1" x14ac:dyDescent="0.35">
      <c r="A16" s="53" t="s">
        <v>93</v>
      </c>
      <c r="B16" s="54">
        <v>1</v>
      </c>
      <c r="C16" s="155" t="str">
        <f t="shared" ref="C16" si="1" xml:space="preserve"> IF(B16="","",setValueToTime(B16))</f>
        <v>0h5min</v>
      </c>
      <c r="D16" s="166" t="s">
        <v>118</v>
      </c>
      <c r="E16" s="209"/>
      <c r="F16" s="210"/>
      <c r="G16" s="51"/>
    </row>
    <row r="17" spans="1:7" s="52" customFormat="1" ht="15" thickBot="1" x14ac:dyDescent="0.35">
      <c r="A17" s="111" t="s">
        <v>28</v>
      </c>
      <c r="B17" s="84">
        <f>SUM(B15:B16)</f>
        <v>48</v>
      </c>
      <c r="C17" s="111" t="str">
        <f xml:space="preserve"> setValueToTime(B17)</f>
        <v>4h</v>
      </c>
      <c r="D17" s="120"/>
      <c r="E17" s="207"/>
      <c r="F17" s="208"/>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01" t="s">
        <v>15</v>
      </c>
      <c r="F20" s="202"/>
      <c r="G20" s="46"/>
    </row>
    <row r="21" spans="1:7" s="52" customFormat="1" ht="27" x14ac:dyDescent="0.3">
      <c r="A21" s="48" t="s">
        <v>149</v>
      </c>
      <c r="B21" s="49">
        <v>37</v>
      </c>
      <c r="C21" s="152" t="str">
        <f xml:space="preserve"> IF(B21="","",setValueToTime(B21))</f>
        <v>3h5min</v>
      </c>
      <c r="D21" s="165" t="s">
        <v>152</v>
      </c>
      <c r="E21" s="203"/>
      <c r="F21" s="204"/>
      <c r="G21" s="51"/>
    </row>
    <row r="22" spans="1:7" s="52" customFormat="1" ht="15" thickBot="1" x14ac:dyDescent="0.35">
      <c r="A22" s="53" t="s">
        <v>93</v>
      </c>
      <c r="B22" s="54">
        <v>1</v>
      </c>
      <c r="C22" s="155" t="str">
        <f t="shared" ref="C22" si="2" xml:space="preserve"> IF(B22="","",setValueToTime(B22))</f>
        <v>0h5min</v>
      </c>
      <c r="D22" s="166" t="s">
        <v>118</v>
      </c>
      <c r="E22" s="209"/>
      <c r="F22" s="210"/>
      <c r="G22" s="51"/>
    </row>
    <row r="23" spans="1:7" s="52" customFormat="1" ht="15" thickBot="1" x14ac:dyDescent="0.35">
      <c r="A23" s="111" t="s">
        <v>28</v>
      </c>
      <c r="B23" s="84">
        <f>SUM(B21:B22)</f>
        <v>38</v>
      </c>
      <c r="C23" s="111" t="str">
        <f xml:space="preserve"> setValueToTime(B23)</f>
        <v>3h10min</v>
      </c>
      <c r="D23" s="120"/>
      <c r="E23" s="207"/>
      <c r="F23" s="208"/>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01" t="s">
        <v>15</v>
      </c>
      <c r="F26" s="202"/>
      <c r="G26" s="46"/>
    </row>
    <row r="27" spans="1:7" s="52" customFormat="1" x14ac:dyDescent="0.3">
      <c r="A27" s="53" t="s">
        <v>98</v>
      </c>
      <c r="B27" s="49">
        <v>47</v>
      </c>
      <c r="C27" s="152" t="str">
        <f xml:space="preserve"> IF(B27="","",setValueToTime(B27))</f>
        <v>3h55min</v>
      </c>
      <c r="D27" s="55" t="s">
        <v>153</v>
      </c>
      <c r="E27" s="203"/>
      <c r="F27" s="204"/>
      <c r="G27" s="51"/>
    </row>
    <row r="28" spans="1:7" s="52" customFormat="1" ht="15" thickBot="1" x14ac:dyDescent="0.35">
      <c r="A28" s="53" t="s">
        <v>93</v>
      </c>
      <c r="B28" s="54">
        <v>1</v>
      </c>
      <c r="C28" s="155" t="str">
        <f t="shared" ref="C28" si="3" xml:space="preserve"> IF(B28="","",setValueToTime(B28))</f>
        <v>0h5min</v>
      </c>
      <c r="D28" s="166" t="s">
        <v>118</v>
      </c>
      <c r="E28" s="209"/>
      <c r="F28" s="210"/>
      <c r="G28" s="51"/>
    </row>
    <row r="29" spans="1:7" s="52" customFormat="1" ht="15" thickBot="1" x14ac:dyDescent="0.35">
      <c r="A29" s="111" t="s">
        <v>28</v>
      </c>
      <c r="B29" s="84">
        <f>SUM(B27:B28)</f>
        <v>48</v>
      </c>
      <c r="C29" s="111" t="str">
        <f xml:space="preserve"> setValueToTime(B29)</f>
        <v>4h</v>
      </c>
      <c r="D29" s="120"/>
      <c r="E29" s="207"/>
      <c r="F29" s="208"/>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01" t="s">
        <v>15</v>
      </c>
      <c r="F32" s="202"/>
      <c r="G32" s="46"/>
    </row>
    <row r="33" spans="1:7" s="52" customFormat="1" ht="40.5" x14ac:dyDescent="0.3">
      <c r="A33" s="48" t="s">
        <v>106</v>
      </c>
      <c r="B33" s="49">
        <v>37</v>
      </c>
      <c r="C33" s="152" t="str">
        <f xml:space="preserve"> IF(B33="","",setValueToTime(B33))</f>
        <v>3h5min</v>
      </c>
      <c r="D33" s="165" t="s">
        <v>150</v>
      </c>
      <c r="E33" s="203"/>
      <c r="F33" s="204"/>
      <c r="G33" s="51"/>
    </row>
    <row r="34" spans="1:7" s="52" customFormat="1" ht="15" thickBot="1" x14ac:dyDescent="0.35">
      <c r="A34" s="53" t="s">
        <v>93</v>
      </c>
      <c r="B34" s="54">
        <v>1</v>
      </c>
      <c r="C34" s="155" t="str">
        <f t="shared" ref="C34" si="4" xml:space="preserve"> IF(B34="","",setValueToTime(B34))</f>
        <v>0h5min</v>
      </c>
      <c r="D34" s="166" t="s">
        <v>118</v>
      </c>
      <c r="E34" s="209"/>
      <c r="F34" s="210"/>
      <c r="G34" s="51"/>
    </row>
    <row r="35" spans="1:7" s="52" customFormat="1" ht="15" thickBot="1" x14ac:dyDescent="0.35">
      <c r="A35" s="111" t="s">
        <v>28</v>
      </c>
      <c r="B35" s="84">
        <f>SUM(B33:B34)</f>
        <v>38</v>
      </c>
      <c r="C35" s="111" t="str">
        <f xml:space="preserve"> setValueToTime(B35)</f>
        <v>3h10min</v>
      </c>
      <c r="D35" s="120"/>
      <c r="E35" s="207"/>
      <c r="F35" s="208"/>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01" t="s">
        <v>15</v>
      </c>
      <c r="F38" s="202"/>
      <c r="G38" s="46"/>
    </row>
    <row r="39" spans="1:7" s="52" customFormat="1" ht="40.5" x14ac:dyDescent="0.3">
      <c r="A39" s="48" t="s">
        <v>107</v>
      </c>
      <c r="B39" s="49">
        <v>20</v>
      </c>
      <c r="C39" s="152" t="str">
        <f xml:space="preserve"> IF(B39="","",setValueToTime(B39))</f>
        <v>1h40min</v>
      </c>
      <c r="D39" s="165" t="s">
        <v>151</v>
      </c>
      <c r="E39" s="203"/>
      <c r="F39" s="204"/>
      <c r="G39" s="51"/>
    </row>
    <row r="40" spans="1:7" s="52" customFormat="1" ht="27" x14ac:dyDescent="0.3">
      <c r="A40" s="53" t="s">
        <v>123</v>
      </c>
      <c r="B40" s="54">
        <v>17</v>
      </c>
      <c r="C40" s="153" t="str">
        <f t="shared" ref="C40:C41" si="5" xml:space="preserve"> IF(B40="","",setValueToTime(B40))</f>
        <v>1h25min</v>
      </c>
      <c r="D40" s="166" t="s">
        <v>148</v>
      </c>
      <c r="E40" s="205"/>
      <c r="F40" s="206"/>
      <c r="G40" s="51"/>
    </row>
    <row r="41" spans="1:7" s="52" customFormat="1" ht="15" thickBot="1" x14ac:dyDescent="0.35">
      <c r="A41" s="53" t="s">
        <v>93</v>
      </c>
      <c r="B41" s="54">
        <v>1</v>
      </c>
      <c r="C41" s="155" t="str">
        <f t="shared" si="5"/>
        <v>0h5min</v>
      </c>
      <c r="D41" s="166" t="s">
        <v>118</v>
      </c>
      <c r="E41" s="209"/>
      <c r="F41" s="210"/>
      <c r="G41" s="51"/>
    </row>
    <row r="42" spans="1:7" s="52" customFormat="1" ht="15" thickBot="1" x14ac:dyDescent="0.35">
      <c r="A42" s="111" t="s">
        <v>28</v>
      </c>
      <c r="B42" s="84">
        <f>SUM(B39:B41)</f>
        <v>38</v>
      </c>
      <c r="C42" s="111" t="str">
        <f xml:space="preserve"> setValueToTime(B42)</f>
        <v>3h10min</v>
      </c>
      <c r="D42" s="120"/>
      <c r="E42" s="207"/>
      <c r="F42" s="208"/>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01" t="s">
        <v>15</v>
      </c>
      <c r="F45" s="202"/>
      <c r="G45" s="46"/>
    </row>
    <row r="46" spans="1:7" s="52" customFormat="1" ht="27" x14ac:dyDescent="0.3">
      <c r="A46" s="48" t="s">
        <v>123</v>
      </c>
      <c r="B46" s="49">
        <v>37</v>
      </c>
      <c r="C46" s="152" t="str">
        <f xml:space="preserve"> IF(B46="","",setValueToTime(B46))</f>
        <v>3h5min</v>
      </c>
      <c r="D46" s="165" t="s">
        <v>147</v>
      </c>
      <c r="E46" s="203"/>
      <c r="F46" s="204"/>
      <c r="G46" s="51"/>
    </row>
    <row r="47" spans="1:7" s="52" customFormat="1" ht="15" thickBot="1" x14ac:dyDescent="0.35">
      <c r="A47" s="53" t="s">
        <v>93</v>
      </c>
      <c r="B47" s="54">
        <v>1</v>
      </c>
      <c r="C47" s="155" t="str">
        <f t="shared" ref="C47" si="6" xml:space="preserve"> IF(B47="","",setValueToTime(B47))</f>
        <v>0h5min</v>
      </c>
      <c r="D47" s="166" t="s">
        <v>118</v>
      </c>
      <c r="E47" s="209"/>
      <c r="F47" s="210"/>
      <c r="G47" s="51"/>
    </row>
    <row r="48" spans="1:7" s="52" customFormat="1" ht="15" thickBot="1" x14ac:dyDescent="0.35">
      <c r="A48" s="111" t="s">
        <v>28</v>
      </c>
      <c r="B48" s="84">
        <f>SUM(B46:B47)</f>
        <v>38</v>
      </c>
      <c r="C48" s="111" t="str">
        <f xml:space="preserve"> setValueToTime(B48)</f>
        <v>3h10min</v>
      </c>
      <c r="D48" s="120"/>
      <c r="E48" s="207"/>
      <c r="F48" s="208"/>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01" t="s">
        <v>15</v>
      </c>
      <c r="F51" s="202"/>
      <c r="G51" s="46"/>
    </row>
    <row r="52" spans="1:7" s="52" customFormat="1" ht="27" x14ac:dyDescent="0.3">
      <c r="A52" s="53" t="s">
        <v>98</v>
      </c>
      <c r="B52" s="54">
        <v>47</v>
      </c>
      <c r="C52" s="152" t="str">
        <f xml:space="preserve"> IF(B52="","",setValueToTime(B52))</f>
        <v>3h55min</v>
      </c>
      <c r="D52" s="166" t="s">
        <v>145</v>
      </c>
      <c r="E52" s="203"/>
      <c r="F52" s="204"/>
      <c r="G52" s="51"/>
    </row>
    <row r="53" spans="1:7" s="52" customFormat="1" ht="15" thickBot="1" x14ac:dyDescent="0.35">
      <c r="A53" s="53" t="s">
        <v>93</v>
      </c>
      <c r="B53" s="54">
        <v>1</v>
      </c>
      <c r="C53" s="155" t="str">
        <f t="shared" ref="C53" si="7" xml:space="preserve"> IF(B53="","",setValueToTime(B53))</f>
        <v>0h5min</v>
      </c>
      <c r="D53" s="166" t="s">
        <v>118</v>
      </c>
      <c r="E53" s="209"/>
      <c r="F53" s="210"/>
      <c r="G53" s="51"/>
    </row>
    <row r="54" spans="1:7" s="52" customFormat="1" ht="15" thickBot="1" x14ac:dyDescent="0.35">
      <c r="A54" s="111" t="s">
        <v>28</v>
      </c>
      <c r="B54" s="84">
        <f>SUM(B52:B53)</f>
        <v>48</v>
      </c>
      <c r="C54" s="111" t="str">
        <f xml:space="preserve"> setValueToTime(B54)</f>
        <v>4h</v>
      </c>
      <c r="D54" s="120"/>
      <c r="E54" s="207"/>
      <c r="F54" s="208"/>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01" t="s">
        <v>15</v>
      </c>
      <c r="F57" s="202"/>
      <c r="G57" s="46"/>
    </row>
    <row r="58" spans="1:7" s="52" customFormat="1" ht="40.5" x14ac:dyDescent="0.3">
      <c r="A58" s="48" t="s">
        <v>108</v>
      </c>
      <c r="B58" s="49">
        <v>37</v>
      </c>
      <c r="C58" s="152" t="str">
        <f xml:space="preserve"> IF(B58="","",setValueToTime(B58))</f>
        <v>3h5min</v>
      </c>
      <c r="D58" s="165" t="s">
        <v>146</v>
      </c>
      <c r="E58" s="203"/>
      <c r="F58" s="204"/>
      <c r="G58" s="51"/>
    </row>
    <row r="59" spans="1:7" s="52" customFormat="1" ht="15" thickBot="1" x14ac:dyDescent="0.35">
      <c r="A59" s="53" t="s">
        <v>93</v>
      </c>
      <c r="B59" s="54">
        <v>1</v>
      </c>
      <c r="C59" s="155" t="str">
        <f t="shared" ref="C59" si="8" xml:space="preserve"> IF(B59="","",setValueToTime(B59))</f>
        <v>0h5min</v>
      </c>
      <c r="D59" s="166" t="s">
        <v>118</v>
      </c>
      <c r="E59" s="209"/>
      <c r="F59" s="210"/>
      <c r="G59" s="51"/>
    </row>
    <row r="60" spans="1:7" s="52" customFormat="1" ht="15" thickBot="1" x14ac:dyDescent="0.35">
      <c r="A60" s="111" t="s">
        <v>28</v>
      </c>
      <c r="B60" s="84">
        <f>SUM(B58:B59)</f>
        <v>38</v>
      </c>
      <c r="C60" s="111" t="str">
        <f xml:space="preserve"> setValueToTime(B60)</f>
        <v>3h10min</v>
      </c>
      <c r="D60" s="120"/>
      <c r="E60" s="207"/>
      <c r="F60" s="208"/>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01" t="s">
        <v>15</v>
      </c>
      <c r="F63" s="202"/>
      <c r="G63" s="46"/>
    </row>
    <row r="64" spans="1:7" s="52" customFormat="1" x14ac:dyDescent="0.3">
      <c r="A64" s="53" t="s">
        <v>98</v>
      </c>
      <c r="B64" s="54">
        <v>17</v>
      </c>
      <c r="C64" s="152" t="str">
        <f xml:space="preserve"> IF(B64="","",setValueToTime(B64))</f>
        <v>1h25min</v>
      </c>
      <c r="D64" s="166" t="s">
        <v>156</v>
      </c>
      <c r="E64" s="203"/>
      <c r="F64" s="204"/>
      <c r="G64" s="51"/>
    </row>
    <row r="65" spans="1:7" s="52" customFormat="1" ht="40.5" x14ac:dyDescent="0.3">
      <c r="A65" s="53" t="s">
        <v>108</v>
      </c>
      <c r="B65" s="54">
        <v>30</v>
      </c>
      <c r="C65" s="153" t="str">
        <f t="shared" ref="C65:C66" si="9" xml:space="preserve"> IF(B65="","",setValueToTime(B65))</f>
        <v>2h30min</v>
      </c>
      <c r="D65" s="55" t="s">
        <v>144</v>
      </c>
      <c r="E65" s="205"/>
      <c r="F65" s="206"/>
      <c r="G65" s="51"/>
    </row>
    <row r="66" spans="1:7" s="52" customFormat="1" ht="15" thickBot="1" x14ac:dyDescent="0.35">
      <c r="A66" s="53" t="s">
        <v>93</v>
      </c>
      <c r="B66" s="54">
        <v>1</v>
      </c>
      <c r="C66" s="155" t="str">
        <f t="shared" si="9"/>
        <v>0h5min</v>
      </c>
      <c r="D66" s="166" t="s">
        <v>118</v>
      </c>
      <c r="E66" s="209"/>
      <c r="F66" s="210"/>
      <c r="G66" s="51"/>
    </row>
    <row r="67" spans="1:7" s="52" customFormat="1" ht="15" thickBot="1" x14ac:dyDescent="0.35">
      <c r="A67" s="111" t="s">
        <v>28</v>
      </c>
      <c r="B67" s="84">
        <f>SUM(B64:B66)</f>
        <v>48</v>
      </c>
      <c r="C67" s="111" t="str">
        <f xml:space="preserve"> setValueToTime(B67)</f>
        <v>4h</v>
      </c>
      <c r="D67" s="120"/>
      <c r="E67" s="207"/>
      <c r="F67" s="208"/>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01" t="s">
        <v>15</v>
      </c>
      <c r="F70" s="202"/>
      <c r="G70" s="46"/>
    </row>
    <row r="71" spans="1:7" s="52" customFormat="1" ht="27" x14ac:dyDescent="0.3">
      <c r="A71" s="48" t="s">
        <v>122</v>
      </c>
      <c r="B71" s="49">
        <v>15</v>
      </c>
      <c r="C71" s="153" t="str">
        <f t="shared" ref="C71:C73" si="10" xml:space="preserve"> IF(B71="","",setValueToTime(B71))</f>
        <v>1h15min</v>
      </c>
      <c r="D71" s="165" t="s">
        <v>143</v>
      </c>
      <c r="E71" s="203"/>
      <c r="F71" s="204"/>
      <c r="G71" s="51"/>
    </row>
    <row r="72" spans="1:7" s="52" customFormat="1" ht="40.5" x14ac:dyDescent="0.3">
      <c r="A72" s="53" t="s">
        <v>142</v>
      </c>
      <c r="B72" s="54">
        <v>22</v>
      </c>
      <c r="C72" s="153" t="str">
        <f t="shared" si="10"/>
        <v>1h50min</v>
      </c>
      <c r="D72" s="166" t="s">
        <v>155</v>
      </c>
      <c r="E72" s="205"/>
      <c r="F72" s="206"/>
      <c r="G72" s="51"/>
    </row>
    <row r="73" spans="1:7" s="52" customFormat="1" ht="15" thickBot="1" x14ac:dyDescent="0.35">
      <c r="A73" s="53" t="s">
        <v>93</v>
      </c>
      <c r="B73" s="54">
        <v>1</v>
      </c>
      <c r="C73" s="155" t="str">
        <f t="shared" si="10"/>
        <v>0h5min</v>
      </c>
      <c r="D73" s="166" t="s">
        <v>118</v>
      </c>
      <c r="E73" s="209"/>
      <c r="F73" s="210"/>
      <c r="G73" s="51"/>
    </row>
    <row r="74" spans="1:7" s="52" customFormat="1" ht="15" thickBot="1" x14ac:dyDescent="0.35">
      <c r="A74" s="111" t="s">
        <v>28</v>
      </c>
      <c r="B74" s="84">
        <f>SUM(B71:B73)</f>
        <v>38</v>
      </c>
      <c r="C74" s="111" t="str">
        <f xml:space="preserve"> setValueToTime(B74)</f>
        <v>3h10min</v>
      </c>
      <c r="D74" s="120"/>
      <c r="E74" s="207"/>
      <c r="F74" s="208"/>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01" t="s">
        <v>15</v>
      </c>
      <c r="F77" s="202"/>
      <c r="G77" s="46"/>
    </row>
    <row r="78" spans="1:7" s="52" customFormat="1" ht="27" x14ac:dyDescent="0.3">
      <c r="A78" s="48" t="s">
        <v>95</v>
      </c>
      <c r="B78" s="49">
        <v>6</v>
      </c>
      <c r="C78" s="152" t="str">
        <f xml:space="preserve"> IF(B78="","",setValueToTime(B78))</f>
        <v>0h30min</v>
      </c>
      <c r="D78" s="165" t="s">
        <v>139</v>
      </c>
      <c r="E78" s="203"/>
      <c r="F78" s="204"/>
      <c r="G78" s="51"/>
    </row>
    <row r="79" spans="1:7" s="52" customFormat="1" ht="27" x14ac:dyDescent="0.3">
      <c r="A79" s="53" t="s">
        <v>112</v>
      </c>
      <c r="B79" s="54">
        <v>31</v>
      </c>
      <c r="C79" s="153" t="str">
        <f t="shared" ref="C79:C80" si="11" xml:space="preserve"> IF(B79="","",setValueToTime(B79))</f>
        <v>2h35min</v>
      </c>
      <c r="D79" s="166" t="s">
        <v>140</v>
      </c>
      <c r="E79" s="205"/>
      <c r="F79" s="206"/>
      <c r="G79" s="51"/>
    </row>
    <row r="80" spans="1:7" s="52" customFormat="1" ht="15" thickBot="1" x14ac:dyDescent="0.35">
      <c r="A80" s="53" t="s">
        <v>93</v>
      </c>
      <c r="B80" s="54">
        <v>1</v>
      </c>
      <c r="C80" s="155" t="str">
        <f t="shared" si="11"/>
        <v>0h5min</v>
      </c>
      <c r="D80" s="166" t="s">
        <v>118</v>
      </c>
      <c r="E80" s="209"/>
      <c r="F80" s="210"/>
      <c r="G80" s="51"/>
    </row>
    <row r="81" spans="1:7" s="52" customFormat="1" ht="15" thickBot="1" x14ac:dyDescent="0.35">
      <c r="A81" s="111" t="s">
        <v>28</v>
      </c>
      <c r="B81" s="84">
        <f>SUM(B78:B80)</f>
        <v>38</v>
      </c>
      <c r="C81" s="111" t="str">
        <f xml:space="preserve"> setValueToTime(B81)</f>
        <v>3h10min</v>
      </c>
      <c r="D81" s="120"/>
      <c r="E81" s="207"/>
      <c r="F81" s="208"/>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01" t="s">
        <v>15</v>
      </c>
      <c r="F84" s="202"/>
      <c r="G84" s="46"/>
    </row>
    <row r="85" spans="1:7" s="52" customFormat="1" ht="27" x14ac:dyDescent="0.3">
      <c r="A85" s="48" t="s">
        <v>96</v>
      </c>
      <c r="B85" s="49">
        <v>30</v>
      </c>
      <c r="C85" s="152" t="str">
        <f xml:space="preserve"> IF(B85="","",setValueToTime(B85))</f>
        <v>2h30min</v>
      </c>
      <c r="D85" s="165" t="s">
        <v>138</v>
      </c>
      <c r="E85" s="203"/>
      <c r="F85" s="204"/>
      <c r="G85" s="51"/>
    </row>
    <row r="86" spans="1:7" s="52" customFormat="1" x14ac:dyDescent="0.3">
      <c r="A86" s="53" t="s">
        <v>110</v>
      </c>
      <c r="B86" s="54">
        <v>17</v>
      </c>
      <c r="C86" s="153" t="str">
        <f t="shared" ref="C86:C87" si="12" xml:space="preserve"> IF(B86="","",setValueToTime(B86))</f>
        <v>1h25min</v>
      </c>
      <c r="D86" s="166" t="s">
        <v>141</v>
      </c>
      <c r="E86" s="205"/>
      <c r="F86" s="206"/>
      <c r="G86" s="51"/>
    </row>
    <row r="87" spans="1:7" s="52" customFormat="1" ht="15" thickBot="1" x14ac:dyDescent="0.35">
      <c r="A87" s="53" t="s">
        <v>93</v>
      </c>
      <c r="B87" s="54">
        <v>1</v>
      </c>
      <c r="C87" s="155" t="str">
        <f t="shared" si="12"/>
        <v>0h5min</v>
      </c>
      <c r="D87" s="166" t="s">
        <v>118</v>
      </c>
      <c r="E87" s="209"/>
      <c r="F87" s="210"/>
      <c r="G87" s="51"/>
    </row>
    <row r="88" spans="1:7" s="52" customFormat="1" ht="15" thickBot="1" x14ac:dyDescent="0.35">
      <c r="A88" s="111" t="s">
        <v>28</v>
      </c>
      <c r="B88" s="84">
        <f>SUM(B85:B87)</f>
        <v>48</v>
      </c>
      <c r="C88" s="111" t="str">
        <f xml:space="preserve"> setValueToTime(B88)</f>
        <v>4h</v>
      </c>
      <c r="D88" s="120"/>
      <c r="E88" s="207"/>
      <c r="F88" s="208"/>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01" t="s">
        <v>15</v>
      </c>
      <c r="F91" s="202"/>
      <c r="G91" s="46"/>
    </row>
    <row r="92" spans="1:7" s="52" customFormat="1" ht="27" x14ac:dyDescent="0.3">
      <c r="A92" s="48" t="s">
        <v>104</v>
      </c>
      <c r="B92" s="49">
        <v>37</v>
      </c>
      <c r="C92" s="152" t="str">
        <f xml:space="preserve"> IF(B92="","",setValueToTime(B92))</f>
        <v>3h5min</v>
      </c>
      <c r="D92" s="165" t="s">
        <v>137</v>
      </c>
      <c r="E92" s="203"/>
      <c r="F92" s="204"/>
      <c r="G92" s="51"/>
    </row>
    <row r="93" spans="1:7" s="52" customFormat="1" ht="15" thickBot="1" x14ac:dyDescent="0.35">
      <c r="A93" s="53" t="s">
        <v>93</v>
      </c>
      <c r="B93" s="54">
        <v>1</v>
      </c>
      <c r="C93" s="155" t="str">
        <f t="shared" ref="C93" si="13" xml:space="preserve"> IF(B93="","",setValueToTime(B93))</f>
        <v>0h5min</v>
      </c>
      <c r="D93" s="166" t="s">
        <v>118</v>
      </c>
      <c r="E93" s="209"/>
      <c r="F93" s="210"/>
      <c r="G93" s="51"/>
    </row>
    <row r="94" spans="1:7" s="52" customFormat="1" ht="15" thickBot="1" x14ac:dyDescent="0.35">
      <c r="A94" s="111" t="s">
        <v>28</v>
      </c>
      <c r="B94" s="84">
        <f>SUM(B92:B93)</f>
        <v>38</v>
      </c>
      <c r="C94" s="111" t="str">
        <f xml:space="preserve"> setValueToTime(B94)</f>
        <v>3h10min</v>
      </c>
      <c r="D94" s="120"/>
      <c r="E94" s="207"/>
      <c r="F94" s="208"/>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01" t="s">
        <v>15</v>
      </c>
      <c r="F97" s="202"/>
      <c r="G97" s="46"/>
    </row>
    <row r="98" spans="1:7" s="52" customFormat="1" ht="27" x14ac:dyDescent="0.3">
      <c r="A98" s="48" t="s">
        <v>111</v>
      </c>
      <c r="B98" s="49">
        <v>2</v>
      </c>
      <c r="C98" s="152" t="str">
        <f xml:space="preserve"> IF(B98="","",setValueToTime(B98))</f>
        <v>0h10min</v>
      </c>
      <c r="D98" s="165" t="s">
        <v>136</v>
      </c>
      <c r="E98" s="203"/>
      <c r="F98" s="204"/>
      <c r="G98" s="51"/>
    </row>
    <row r="99" spans="1:7" s="52" customFormat="1" ht="27" x14ac:dyDescent="0.3">
      <c r="A99" s="53" t="s">
        <v>105</v>
      </c>
      <c r="B99" s="54">
        <v>26</v>
      </c>
      <c r="C99" s="153" t="str">
        <f t="shared" ref="C99:C101" si="14" xml:space="preserve"> IF(B99="","",setValueToTime(B99))</f>
        <v>2h10min</v>
      </c>
      <c r="D99" s="166" t="s">
        <v>135</v>
      </c>
      <c r="E99" s="205"/>
      <c r="F99" s="206"/>
      <c r="G99" s="51"/>
    </row>
    <row r="100" spans="1:7" s="52" customFormat="1" ht="40.5" x14ac:dyDescent="0.3">
      <c r="A100" s="53" t="s">
        <v>113</v>
      </c>
      <c r="B100" s="54">
        <v>9</v>
      </c>
      <c r="C100" s="153" t="str">
        <f t="shared" si="14"/>
        <v>0h45min</v>
      </c>
      <c r="D100" s="166" t="s">
        <v>162</v>
      </c>
      <c r="E100" s="205"/>
      <c r="F100" s="206"/>
      <c r="G100" s="51"/>
    </row>
    <row r="101" spans="1:7" s="52" customFormat="1" ht="15" thickBot="1" x14ac:dyDescent="0.35">
      <c r="A101" s="53" t="s">
        <v>93</v>
      </c>
      <c r="B101" s="54">
        <v>1</v>
      </c>
      <c r="C101" s="155" t="str">
        <f t="shared" si="14"/>
        <v>0h5min</v>
      </c>
      <c r="D101" s="166" t="s">
        <v>118</v>
      </c>
      <c r="E101" s="209"/>
      <c r="F101" s="210"/>
      <c r="G101" s="51"/>
    </row>
    <row r="102" spans="1:7" s="52" customFormat="1" ht="15" thickBot="1" x14ac:dyDescent="0.35">
      <c r="A102" s="111" t="s">
        <v>28</v>
      </c>
      <c r="B102" s="84">
        <f>SUM(B98:B101)</f>
        <v>38</v>
      </c>
      <c r="C102" s="111" t="str">
        <f xml:space="preserve"> setValueToTime(B102)</f>
        <v>3h10min</v>
      </c>
      <c r="D102" s="120"/>
      <c r="E102" s="207"/>
      <c r="F102" s="208"/>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01" t="s">
        <v>15</v>
      </c>
      <c r="F105" s="202"/>
      <c r="G105" s="46"/>
    </row>
    <row r="106" spans="1:7" s="52" customFormat="1" ht="27" x14ac:dyDescent="0.3">
      <c r="A106" s="48" t="s">
        <v>114</v>
      </c>
      <c r="B106" s="49">
        <v>37</v>
      </c>
      <c r="C106" s="152" t="str">
        <f xml:space="preserve"> IF(B106="","",setValueToTime(B106))</f>
        <v>3h5min</v>
      </c>
      <c r="D106" s="165" t="s">
        <v>134</v>
      </c>
      <c r="E106" s="203"/>
      <c r="F106" s="204"/>
      <c r="G106" s="51"/>
    </row>
    <row r="107" spans="1:7" s="52" customFormat="1" ht="15" thickBot="1" x14ac:dyDescent="0.35">
      <c r="A107" s="53" t="s">
        <v>93</v>
      </c>
      <c r="B107" s="54">
        <v>1</v>
      </c>
      <c r="C107" s="155" t="str">
        <f t="shared" ref="C107" si="15" xml:space="preserve"> IF(B107="","",setValueToTime(B107))</f>
        <v>0h5min</v>
      </c>
      <c r="D107" s="166" t="s">
        <v>118</v>
      </c>
      <c r="E107" s="209"/>
      <c r="F107" s="210"/>
      <c r="G107" s="51"/>
    </row>
    <row r="108" spans="1:7" s="52" customFormat="1" ht="15" thickBot="1" x14ac:dyDescent="0.35">
      <c r="A108" s="111" t="s">
        <v>28</v>
      </c>
      <c r="B108" s="84">
        <f>SUM(B106:B107)</f>
        <v>38</v>
      </c>
      <c r="C108" s="111" t="str">
        <f xml:space="preserve"> setValueToTime(B108)</f>
        <v>3h10min</v>
      </c>
      <c r="D108" s="120"/>
      <c r="E108" s="207"/>
      <c r="F108" s="208"/>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01" t="s">
        <v>15</v>
      </c>
      <c r="F111" s="202"/>
      <c r="G111" s="46"/>
    </row>
    <row r="112" spans="1:7" s="52" customFormat="1" ht="15" thickBot="1" x14ac:dyDescent="0.35">
      <c r="A112" s="48" t="s">
        <v>4</v>
      </c>
      <c r="B112" s="49">
        <v>38</v>
      </c>
      <c r="C112" s="152" t="str">
        <f xml:space="preserve"> IF(B112="","",setValueToTime(B112))</f>
        <v>3h10min</v>
      </c>
      <c r="D112" s="165" t="s">
        <v>119</v>
      </c>
      <c r="E112" s="203"/>
      <c r="F112" s="204"/>
      <c r="G112" s="51"/>
    </row>
    <row r="113" spans="1:7" s="52" customFormat="1" ht="15" thickBot="1" x14ac:dyDescent="0.35">
      <c r="A113" s="111" t="s">
        <v>28</v>
      </c>
      <c r="B113" s="84">
        <f>SUM(B112:B112)</f>
        <v>38</v>
      </c>
      <c r="C113" s="111" t="str">
        <f xml:space="preserve"> setValueToTime(B113)</f>
        <v>3h10min</v>
      </c>
      <c r="D113" s="120"/>
      <c r="E113" s="207"/>
      <c r="F113" s="208"/>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01" t="s">
        <v>15</v>
      </c>
      <c r="F116" s="202"/>
      <c r="G116" s="46"/>
    </row>
    <row r="117" spans="1:7" s="52" customFormat="1" ht="15" thickBot="1" x14ac:dyDescent="0.35">
      <c r="A117" s="48" t="s">
        <v>4</v>
      </c>
      <c r="B117" s="49">
        <v>48</v>
      </c>
      <c r="C117" s="152" t="str">
        <f xml:space="preserve"> IF(B117="","",setValueToTime(B117))</f>
        <v>4h</v>
      </c>
      <c r="D117" s="165" t="s">
        <v>119</v>
      </c>
      <c r="E117" s="203"/>
      <c r="F117" s="204"/>
      <c r="G117" s="51"/>
    </row>
    <row r="118" spans="1:7" s="52" customFormat="1" ht="15" thickBot="1" x14ac:dyDescent="0.35">
      <c r="A118" s="111" t="s">
        <v>28</v>
      </c>
      <c r="B118" s="84">
        <f>SUM(B117:B117)</f>
        <v>48</v>
      </c>
      <c r="C118" s="111" t="str">
        <f xml:space="preserve"> setValueToTime(B118)</f>
        <v>4h</v>
      </c>
      <c r="D118" s="120"/>
      <c r="E118" s="207"/>
      <c r="F118" s="208"/>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01" t="s">
        <v>15</v>
      </c>
      <c r="F121" s="202"/>
      <c r="G121" s="46"/>
    </row>
    <row r="122" spans="1:7" s="52" customFormat="1" ht="40.5" x14ac:dyDescent="0.3">
      <c r="A122" s="48" t="s">
        <v>116</v>
      </c>
      <c r="B122" s="49">
        <v>37</v>
      </c>
      <c r="C122" s="152" t="str">
        <f xml:space="preserve"> IF(B122="","",setValueToTime(B122))</f>
        <v>3h5min</v>
      </c>
      <c r="D122" s="165" t="s">
        <v>132</v>
      </c>
      <c r="E122" s="215" t="s">
        <v>131</v>
      </c>
      <c r="F122" s="204"/>
      <c r="G122" s="51"/>
    </row>
    <row r="123" spans="1:7" s="52" customFormat="1" ht="15" thickBot="1" x14ac:dyDescent="0.35">
      <c r="A123" s="53" t="s">
        <v>93</v>
      </c>
      <c r="B123" s="54">
        <v>1</v>
      </c>
      <c r="C123" s="155" t="str">
        <f t="shared" ref="C123" si="16" xml:space="preserve"> IF(B123="","",setValueToTime(B123))</f>
        <v>0h5min</v>
      </c>
      <c r="D123" s="166" t="s">
        <v>118</v>
      </c>
      <c r="E123" s="209"/>
      <c r="F123" s="210"/>
      <c r="G123" s="51"/>
    </row>
    <row r="124" spans="1:7" s="52" customFormat="1" ht="15" thickBot="1" x14ac:dyDescent="0.35">
      <c r="A124" s="111" t="s">
        <v>28</v>
      </c>
      <c r="B124" s="84">
        <f>SUM(B122:B123)</f>
        <v>38</v>
      </c>
      <c r="C124" s="111" t="str">
        <f xml:space="preserve"> setValueToTime(B124)</f>
        <v>3h10min</v>
      </c>
      <c r="D124" s="120"/>
      <c r="E124" s="207"/>
      <c r="F124" s="208"/>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01" t="s">
        <v>15</v>
      </c>
      <c r="F127" s="202"/>
      <c r="G127" s="46"/>
    </row>
    <row r="128" spans="1:7" s="52" customFormat="1" ht="27" x14ac:dyDescent="0.3">
      <c r="A128" s="48" t="s">
        <v>117</v>
      </c>
      <c r="B128" s="49">
        <v>47</v>
      </c>
      <c r="C128" s="152" t="str">
        <f xml:space="preserve"> IF(B128="","",setValueToTime(B128))</f>
        <v>3h55min</v>
      </c>
      <c r="D128" s="165" t="s">
        <v>130</v>
      </c>
      <c r="E128" s="203"/>
      <c r="F128" s="204"/>
      <c r="G128" s="51"/>
    </row>
    <row r="129" spans="1:7" s="52" customFormat="1" ht="15" thickBot="1" x14ac:dyDescent="0.35">
      <c r="A129" s="53" t="s">
        <v>93</v>
      </c>
      <c r="B129" s="54">
        <v>1</v>
      </c>
      <c r="C129" s="155" t="str">
        <f t="shared" ref="C129" si="17" xml:space="preserve"> IF(B129="","",setValueToTime(B129))</f>
        <v>0h5min</v>
      </c>
      <c r="D129" s="166" t="s">
        <v>118</v>
      </c>
      <c r="E129" s="209"/>
      <c r="F129" s="210"/>
      <c r="G129" s="51"/>
    </row>
    <row r="130" spans="1:7" s="52" customFormat="1" ht="15" thickBot="1" x14ac:dyDescent="0.35">
      <c r="A130" s="111" t="s">
        <v>28</v>
      </c>
      <c r="B130" s="84">
        <f>SUM(B128:B129)</f>
        <v>48</v>
      </c>
      <c r="C130" s="111" t="str">
        <f xml:space="preserve"> setValueToTime(B130)</f>
        <v>4h</v>
      </c>
      <c r="D130" s="120"/>
      <c r="E130" s="207"/>
      <c r="F130" s="208"/>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01" t="s">
        <v>15</v>
      </c>
      <c r="F133" s="202"/>
      <c r="G133" s="46"/>
    </row>
    <row r="134" spans="1:7" s="52" customFormat="1" ht="27" x14ac:dyDescent="0.3">
      <c r="A134" s="48" t="s">
        <v>101</v>
      </c>
      <c r="B134" s="49">
        <v>37</v>
      </c>
      <c r="C134" s="152" t="str">
        <f xml:space="preserve"> IF(B134="","",setValueToTime(B134))</f>
        <v>3h5min</v>
      </c>
      <c r="D134" s="165" t="s">
        <v>128</v>
      </c>
      <c r="E134" s="203"/>
      <c r="F134" s="204"/>
      <c r="G134" s="51"/>
    </row>
    <row r="135" spans="1:7" s="52" customFormat="1" ht="15" thickBot="1" x14ac:dyDescent="0.35">
      <c r="A135" s="53" t="s">
        <v>93</v>
      </c>
      <c r="B135" s="54">
        <v>1</v>
      </c>
      <c r="C135" s="155" t="str">
        <f t="shared" ref="C135" si="18" xml:space="preserve"> IF(B135="","",setValueToTime(B135))</f>
        <v>0h5min</v>
      </c>
      <c r="D135" s="166" t="s">
        <v>118</v>
      </c>
      <c r="E135" s="209"/>
      <c r="F135" s="210"/>
      <c r="G135" s="51"/>
    </row>
    <row r="136" spans="1:7" s="52" customFormat="1" ht="15" thickBot="1" x14ac:dyDescent="0.35">
      <c r="A136" s="111" t="s">
        <v>28</v>
      </c>
      <c r="B136" s="84">
        <f>SUM(B134:B135)</f>
        <v>38</v>
      </c>
      <c r="C136" s="111" t="str">
        <f xml:space="preserve"> setValueToTime(B136)</f>
        <v>3h10min</v>
      </c>
      <c r="D136" s="120"/>
      <c r="E136" s="207"/>
      <c r="F136" s="208"/>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01" t="s">
        <v>15</v>
      </c>
      <c r="F139" s="202"/>
      <c r="G139" s="46"/>
    </row>
    <row r="140" spans="1:7" s="52" customFormat="1" ht="27" x14ac:dyDescent="0.3">
      <c r="A140" s="48" t="s">
        <v>101</v>
      </c>
      <c r="B140" s="49">
        <v>37</v>
      </c>
      <c r="C140" s="152" t="str">
        <f xml:space="preserve"> IF(B140="","",setValueToTime(B140))</f>
        <v>3h5min</v>
      </c>
      <c r="D140" s="165" t="s">
        <v>129</v>
      </c>
      <c r="E140" s="203"/>
      <c r="F140" s="204"/>
      <c r="G140" s="51"/>
    </row>
    <row r="141" spans="1:7" s="52" customFormat="1" ht="15" thickBot="1" x14ac:dyDescent="0.35">
      <c r="A141" s="53" t="s">
        <v>93</v>
      </c>
      <c r="B141" s="54">
        <v>1</v>
      </c>
      <c r="C141" s="155" t="str">
        <f t="shared" ref="C141" si="19" xml:space="preserve"> IF(B141="","",setValueToTime(B141))</f>
        <v>0h5min</v>
      </c>
      <c r="D141" s="166" t="s">
        <v>118</v>
      </c>
      <c r="E141" s="209"/>
      <c r="F141" s="210"/>
      <c r="G141" s="51"/>
    </row>
    <row r="142" spans="1:7" s="52" customFormat="1" ht="15" thickBot="1" x14ac:dyDescent="0.35">
      <c r="A142" s="111" t="s">
        <v>28</v>
      </c>
      <c r="B142" s="84">
        <f>SUM(B140:B141)</f>
        <v>38</v>
      </c>
      <c r="C142" s="111" t="str">
        <f xml:space="preserve"> setValueToTime(B142)</f>
        <v>3h10min</v>
      </c>
      <c r="D142" s="120"/>
      <c r="E142" s="207"/>
      <c r="F142" s="208"/>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01" t="s">
        <v>15</v>
      </c>
      <c r="F145" s="202"/>
      <c r="G145" s="46"/>
    </row>
    <row r="146" spans="1:7" s="52" customFormat="1" ht="54" x14ac:dyDescent="0.3">
      <c r="A146" s="48" t="s">
        <v>102</v>
      </c>
      <c r="B146" s="49">
        <v>37</v>
      </c>
      <c r="C146" s="152" t="str">
        <f xml:space="preserve"> IF(B146="","",setValueToTime(B146))</f>
        <v>3h5min</v>
      </c>
      <c r="D146" s="165" t="s">
        <v>127</v>
      </c>
      <c r="E146" s="203"/>
      <c r="F146" s="204"/>
      <c r="G146" s="51"/>
    </row>
    <row r="147" spans="1:7" s="52" customFormat="1" ht="15" thickBot="1" x14ac:dyDescent="0.35">
      <c r="A147" s="53" t="s">
        <v>93</v>
      </c>
      <c r="B147" s="54">
        <v>1</v>
      </c>
      <c r="C147" s="155" t="str">
        <f t="shared" ref="C147" si="20" xml:space="preserve"> IF(B147="","",setValueToTime(B147))</f>
        <v>0h5min</v>
      </c>
      <c r="D147" s="166" t="s">
        <v>118</v>
      </c>
      <c r="E147" s="209"/>
      <c r="F147" s="210"/>
      <c r="G147" s="51"/>
    </row>
    <row r="148" spans="1:7" s="52" customFormat="1" ht="15" thickBot="1" x14ac:dyDescent="0.35">
      <c r="A148" s="111" t="s">
        <v>28</v>
      </c>
      <c r="B148" s="84">
        <f>SUM(B146:B147)</f>
        <v>38</v>
      </c>
      <c r="C148" s="111" t="str">
        <f xml:space="preserve"> setValueToTime(B148)</f>
        <v>3h10min</v>
      </c>
      <c r="D148" s="120"/>
      <c r="E148" s="207"/>
      <c r="F148" s="208"/>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01" t="s">
        <v>15</v>
      </c>
      <c r="F151" s="202"/>
      <c r="G151" s="46"/>
    </row>
    <row r="152" spans="1:7" s="52" customFormat="1" ht="27" x14ac:dyDescent="0.3">
      <c r="A152" s="48" t="s">
        <v>103</v>
      </c>
      <c r="B152" s="49">
        <v>6</v>
      </c>
      <c r="C152" s="152" t="str">
        <f xml:space="preserve"> IF(B152="","",setValueToTime(B152))</f>
        <v>0h30min</v>
      </c>
      <c r="D152" s="165" t="s">
        <v>125</v>
      </c>
      <c r="E152" s="203"/>
      <c r="F152" s="204"/>
      <c r="G152" s="51"/>
    </row>
    <row r="153" spans="1:7" s="52" customFormat="1" ht="27" x14ac:dyDescent="0.3">
      <c r="A153" s="53" t="s">
        <v>111</v>
      </c>
      <c r="B153" s="54">
        <v>4</v>
      </c>
      <c r="C153" s="153" t="str">
        <f t="shared" ref="C153:C155" si="21" xml:space="preserve"> IF(B153="","",setValueToTime(B153))</f>
        <v>0h20min</v>
      </c>
      <c r="D153" s="166" t="s">
        <v>161</v>
      </c>
      <c r="E153" s="205"/>
      <c r="F153" s="206"/>
      <c r="G153" s="51"/>
    </row>
    <row r="154" spans="1:7" s="52" customFormat="1" ht="27" x14ac:dyDescent="0.3">
      <c r="A154" s="53" t="s">
        <v>100</v>
      </c>
      <c r="B154" s="54">
        <v>27</v>
      </c>
      <c r="C154" s="153" t="str">
        <f t="shared" si="21"/>
        <v>2h15min</v>
      </c>
      <c r="D154" s="166" t="s">
        <v>126</v>
      </c>
      <c r="E154" s="205"/>
      <c r="F154" s="206"/>
      <c r="G154" s="51"/>
    </row>
    <row r="155" spans="1:7" s="52" customFormat="1" ht="15" thickBot="1" x14ac:dyDescent="0.35">
      <c r="A155" s="53" t="s">
        <v>93</v>
      </c>
      <c r="B155" s="54">
        <v>1</v>
      </c>
      <c r="C155" s="155" t="str">
        <f t="shared" si="21"/>
        <v>0h5min</v>
      </c>
      <c r="D155" s="166" t="s">
        <v>118</v>
      </c>
      <c r="E155" s="209"/>
      <c r="F155" s="210"/>
      <c r="G155" s="51"/>
    </row>
    <row r="156" spans="1:7" s="52" customFormat="1" ht="15" thickBot="1" x14ac:dyDescent="0.35">
      <c r="A156" s="111" t="s">
        <v>28</v>
      </c>
      <c r="B156" s="84">
        <f>SUM(B152:B155)</f>
        <v>38</v>
      </c>
      <c r="C156" s="111" t="str">
        <f xml:space="preserve"> setValueToTime(B156)</f>
        <v>3h10min</v>
      </c>
      <c r="D156" s="120"/>
      <c r="E156" s="207"/>
      <c r="F156" s="208"/>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01" t="s">
        <v>15</v>
      </c>
      <c r="F159" s="202"/>
      <c r="G159" s="46"/>
    </row>
    <row r="160" spans="1:7" s="52" customFormat="1" x14ac:dyDescent="0.3">
      <c r="A160" s="48" t="s">
        <v>97</v>
      </c>
      <c r="B160" s="49">
        <v>47</v>
      </c>
      <c r="C160" s="152" t="str">
        <f xml:space="preserve"> IF(B160="","",setValueToTime(B160))</f>
        <v>3h55min</v>
      </c>
      <c r="D160" s="165" t="s">
        <v>120</v>
      </c>
      <c r="E160" s="203"/>
      <c r="F160" s="204"/>
      <c r="G160" s="51"/>
    </row>
    <row r="161" spans="1:7" s="52" customFormat="1" ht="15" thickBot="1" x14ac:dyDescent="0.35">
      <c r="A161" s="53" t="s">
        <v>93</v>
      </c>
      <c r="B161" s="54">
        <v>1</v>
      </c>
      <c r="C161" s="153" t="str">
        <f t="shared" ref="C161" si="22" xml:space="preserve"> IF(B161="","",setValueToTime(B161))</f>
        <v>0h5min</v>
      </c>
      <c r="D161" s="166" t="s">
        <v>118</v>
      </c>
      <c r="E161" s="205"/>
      <c r="F161" s="206"/>
      <c r="G161" s="51"/>
    </row>
    <row r="162" spans="1:7" s="52" customFormat="1" ht="15" thickBot="1" x14ac:dyDescent="0.35">
      <c r="A162" s="111" t="s">
        <v>28</v>
      </c>
      <c r="B162" s="84">
        <f>SUM(B160:B161)</f>
        <v>48</v>
      </c>
      <c r="C162" s="111" t="str">
        <f xml:space="preserve"> setValueToTime(B162)</f>
        <v>4h</v>
      </c>
      <c r="D162" s="120"/>
      <c r="E162" s="207"/>
      <c r="F162" s="208"/>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01" t="s">
        <v>15</v>
      </c>
      <c r="F165" s="202"/>
      <c r="G165" s="46"/>
    </row>
    <row r="166" spans="1:7" s="52" customFormat="1" x14ac:dyDescent="0.3">
      <c r="A166" s="48" t="s">
        <v>97</v>
      </c>
      <c r="B166" s="49">
        <v>37</v>
      </c>
      <c r="C166" s="152" t="str">
        <f xml:space="preserve"> IF(B166="","",setValueToTime(B166))</f>
        <v>3h5min</v>
      </c>
      <c r="D166" s="165" t="s">
        <v>124</v>
      </c>
      <c r="E166" s="203"/>
      <c r="F166" s="204"/>
      <c r="G166" s="51"/>
    </row>
    <row r="167" spans="1:7" s="52" customFormat="1" ht="15" thickBot="1" x14ac:dyDescent="0.35">
      <c r="A167" s="53" t="s">
        <v>93</v>
      </c>
      <c r="B167" s="54">
        <v>1</v>
      </c>
      <c r="C167" s="153" t="str">
        <f t="shared" ref="C167" si="23" xml:space="preserve"> IF(B167="","",setValueToTime(B167))</f>
        <v>0h5min</v>
      </c>
      <c r="D167" s="166" t="s">
        <v>118</v>
      </c>
      <c r="E167" s="205"/>
      <c r="F167" s="206"/>
      <c r="G167" s="51"/>
    </row>
    <row r="168" spans="1:7" s="52" customFormat="1" ht="15" thickBot="1" x14ac:dyDescent="0.35">
      <c r="A168" s="111" t="s">
        <v>28</v>
      </c>
      <c r="B168" s="84">
        <f>SUM(B166:B167)</f>
        <v>38</v>
      </c>
      <c r="C168" s="111" t="str">
        <f xml:space="preserve"> setValueToTime(B168)</f>
        <v>3h10min</v>
      </c>
      <c r="D168" s="120"/>
      <c r="E168" s="207"/>
      <c r="F168" s="208"/>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10:F10"/>
    <mergeCell ref="E23:F23"/>
    <mergeCell ref="E14:F14"/>
    <mergeCell ref="E15:F15"/>
    <mergeCell ref="E16:F16"/>
    <mergeCell ref="E17:F17"/>
    <mergeCell ref="E20:F20"/>
    <mergeCell ref="E21:F21"/>
    <mergeCell ref="E11:F11"/>
    <mergeCell ref="E3:F3"/>
    <mergeCell ref="E4:F4"/>
    <mergeCell ref="E5:F5"/>
    <mergeCell ref="E8:F8"/>
    <mergeCell ref="E9:F9"/>
  </mergeCells>
  <phoneticPr fontId="0" type="noConversion"/>
  <conditionalFormatting sqref="B168">
    <cfRule type="cellIs" dxfId="39" priority="33" operator="greaterThan">
      <formula>60</formula>
    </cfRule>
  </conditionalFormatting>
  <conditionalFormatting sqref="B162">
    <cfRule type="cellIs" dxfId="38" priority="32" operator="greaterThan">
      <formula>60</formula>
    </cfRule>
  </conditionalFormatting>
  <conditionalFormatting sqref="B156">
    <cfRule type="cellIs" dxfId="37" priority="31" operator="greaterThan">
      <formula>60</formula>
    </cfRule>
  </conditionalFormatting>
  <conditionalFormatting sqref="B148">
    <cfRule type="cellIs" dxfId="36" priority="30" operator="greaterThan">
      <formula>60</formula>
    </cfRule>
  </conditionalFormatting>
  <conditionalFormatting sqref="B142">
    <cfRule type="cellIs" dxfId="35" priority="29" operator="greaterThan">
      <formula>60</formula>
    </cfRule>
  </conditionalFormatting>
  <conditionalFormatting sqref="B136">
    <cfRule type="cellIs" dxfId="34" priority="28" operator="greaterThan">
      <formula>60</formula>
    </cfRule>
  </conditionalFormatting>
  <conditionalFormatting sqref="B130">
    <cfRule type="cellIs" dxfId="33" priority="27" operator="greaterThan">
      <formula>60</formula>
    </cfRule>
  </conditionalFormatting>
  <conditionalFormatting sqref="B124">
    <cfRule type="cellIs" dxfId="32" priority="26" operator="greaterThan">
      <formula>60</formula>
    </cfRule>
  </conditionalFormatting>
  <conditionalFormatting sqref="B118">
    <cfRule type="cellIs" dxfId="31" priority="25" operator="greaterThan">
      <formula>60</formula>
    </cfRule>
  </conditionalFormatting>
  <conditionalFormatting sqref="B113">
    <cfRule type="cellIs" dxfId="30" priority="24" operator="greaterThan">
      <formula>60</formula>
    </cfRule>
  </conditionalFormatting>
  <conditionalFormatting sqref="B108">
    <cfRule type="cellIs" dxfId="29" priority="23" operator="greaterThan">
      <formula>60</formula>
    </cfRule>
  </conditionalFormatting>
  <conditionalFormatting sqref="B102">
    <cfRule type="cellIs" dxfId="28" priority="22" operator="greaterThan">
      <formula>60</formula>
    </cfRule>
  </conditionalFormatting>
  <conditionalFormatting sqref="B94">
    <cfRule type="cellIs" dxfId="27" priority="21" operator="greaterThan">
      <formula>60</formula>
    </cfRule>
  </conditionalFormatting>
  <conditionalFormatting sqref="B88">
    <cfRule type="cellIs" dxfId="26" priority="20" operator="greaterThan">
      <formula>60</formula>
    </cfRule>
  </conditionalFormatting>
  <conditionalFormatting sqref="B81">
    <cfRule type="cellIs" dxfId="25" priority="19" operator="greaterThan">
      <formula>60</formula>
    </cfRule>
  </conditionalFormatting>
  <conditionalFormatting sqref="B74">
    <cfRule type="cellIs" dxfId="20" priority="14" operator="greaterThan">
      <formula>60</formula>
    </cfRule>
  </conditionalFormatting>
  <conditionalFormatting sqref="B67">
    <cfRule type="cellIs" dxfId="19" priority="13" operator="greaterThan">
      <formula>60</formula>
    </cfRule>
  </conditionalFormatting>
  <conditionalFormatting sqref="B60">
    <cfRule type="cellIs" dxfId="18" priority="12" operator="greaterThan">
      <formula>60</formula>
    </cfRule>
  </conditionalFormatting>
  <conditionalFormatting sqref="B54">
    <cfRule type="cellIs" dxfId="17" priority="11" operator="greaterThan">
      <formula>60</formula>
    </cfRule>
  </conditionalFormatting>
  <conditionalFormatting sqref="B48">
    <cfRule type="cellIs" dxfId="16" priority="10" operator="greaterThan">
      <formula>60</formula>
    </cfRule>
  </conditionalFormatting>
  <conditionalFormatting sqref="B42">
    <cfRule type="cellIs" dxfId="15" priority="9" operator="greaterThan">
      <formula>60</formula>
    </cfRule>
  </conditionalFormatting>
  <conditionalFormatting sqref="B35">
    <cfRule type="cellIs" dxfId="14" priority="8" operator="greaterThan">
      <formula>60</formula>
    </cfRule>
  </conditionalFormatting>
  <conditionalFormatting sqref="B29">
    <cfRule type="cellIs" dxfId="12" priority="6" operator="greaterThan">
      <formula>60</formula>
    </cfRule>
  </conditionalFormatting>
  <conditionalFormatting sqref="B23">
    <cfRule type="cellIs" dxfId="11" priority="5" operator="greaterThan">
      <formula>60</formula>
    </cfRule>
  </conditionalFormatting>
  <conditionalFormatting sqref="B17">
    <cfRule type="cellIs" dxfId="10" priority="4" operator="greaterThan">
      <formula>60</formula>
    </cfRule>
  </conditionalFormatting>
  <conditionalFormatting sqref="B11">
    <cfRule type="cellIs" dxfId="9" priority="3" operator="greaterThan">
      <formula>60</formula>
    </cfRule>
  </conditionalFormatting>
  <conditionalFormatting sqref="B5">
    <cfRule type="cellIs" dxfId="8" priority="2"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7"/>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3</v>
      </c>
      <c r="C2" s="164"/>
      <c r="D2" s="157" t="s">
        <v>16</v>
      </c>
      <c r="E2" s="158" t="s">
        <v>85</v>
      </c>
      <c r="F2" s="159" t="s">
        <v>44</v>
      </c>
      <c r="G2" s="46"/>
    </row>
    <row r="3" spans="1:7" s="47" customFormat="1" ht="30" customHeight="1" thickBot="1" x14ac:dyDescent="0.3">
      <c r="A3" s="78" t="s">
        <v>5</v>
      </c>
      <c r="B3" s="161" t="s">
        <v>39</v>
      </c>
      <c r="C3" s="160"/>
      <c r="D3" s="78" t="s">
        <v>14</v>
      </c>
      <c r="E3" s="213" t="s">
        <v>15</v>
      </c>
      <c r="F3" s="214"/>
      <c r="G3" s="46"/>
    </row>
    <row r="4" spans="1:7" s="52" customFormat="1" ht="27" x14ac:dyDescent="0.3">
      <c r="A4" s="48" t="s">
        <v>97</v>
      </c>
      <c r="B4" s="49">
        <v>18</v>
      </c>
      <c r="C4" s="152" t="str">
        <f xml:space="preserve"> IF(B4="","",setValueToTime(B4))</f>
        <v>1h30min</v>
      </c>
      <c r="D4" s="165" t="s">
        <v>165</v>
      </c>
      <c r="E4" s="203"/>
      <c r="F4" s="204"/>
      <c r="G4" s="51"/>
    </row>
    <row r="5" spans="1:7" s="52" customFormat="1" ht="54" x14ac:dyDescent="0.3">
      <c r="A5" s="53" t="s">
        <v>111</v>
      </c>
      <c r="B5" s="54">
        <v>2</v>
      </c>
      <c r="C5" s="153" t="str">
        <f t="shared" ref="C5:C11" si="0" xml:space="preserve"> IF(B5="","",setValueToTime(B5))</f>
        <v>0h10min</v>
      </c>
      <c r="D5" s="166" t="s">
        <v>166</v>
      </c>
      <c r="E5" s="205"/>
      <c r="F5" s="206"/>
      <c r="G5" s="51"/>
    </row>
    <row r="6" spans="1:7" s="52" customFormat="1" x14ac:dyDescent="0.3">
      <c r="A6" s="53"/>
      <c r="B6" s="54"/>
      <c r="C6" s="153" t="str">
        <f t="shared" si="0"/>
        <v/>
      </c>
      <c r="D6" s="55"/>
      <c r="E6" s="205"/>
      <c r="F6" s="206"/>
      <c r="G6" s="51"/>
    </row>
    <row r="7" spans="1:7" s="52" customFormat="1" x14ac:dyDescent="0.3">
      <c r="A7" s="53"/>
      <c r="B7" s="54"/>
      <c r="C7" s="153" t="str">
        <f t="shared" si="0"/>
        <v/>
      </c>
      <c r="D7" s="55"/>
      <c r="E7" s="205"/>
      <c r="F7" s="206"/>
      <c r="G7" s="51"/>
    </row>
    <row r="8" spans="1:7" s="52" customFormat="1" x14ac:dyDescent="0.3">
      <c r="A8" s="54"/>
      <c r="B8" s="54"/>
      <c r="C8" s="154" t="str">
        <f t="shared" si="0"/>
        <v/>
      </c>
      <c r="D8" s="55"/>
      <c r="E8" s="205"/>
      <c r="F8" s="206"/>
      <c r="G8" s="51"/>
    </row>
    <row r="9" spans="1:7" s="52" customFormat="1" x14ac:dyDescent="0.3">
      <c r="A9" s="54"/>
      <c r="B9" s="54"/>
      <c r="C9" s="154" t="str">
        <f t="shared" si="0"/>
        <v/>
      </c>
      <c r="D9" s="55"/>
      <c r="E9" s="205"/>
      <c r="F9" s="206"/>
      <c r="G9" s="51"/>
    </row>
    <row r="10" spans="1:7" s="52" customFormat="1" x14ac:dyDescent="0.3">
      <c r="A10" s="54"/>
      <c r="B10" s="54"/>
      <c r="C10" s="154" t="str">
        <f t="shared" si="0"/>
        <v/>
      </c>
      <c r="D10" s="55"/>
      <c r="E10" s="205"/>
      <c r="F10" s="206"/>
      <c r="G10" s="51"/>
    </row>
    <row r="11" spans="1:7" s="52" customFormat="1" ht="15" thickBot="1" x14ac:dyDescent="0.35">
      <c r="A11" s="56"/>
      <c r="B11" s="56"/>
      <c r="C11" s="155" t="str">
        <f t="shared" si="0"/>
        <v/>
      </c>
      <c r="D11" s="57"/>
      <c r="E11" s="209"/>
      <c r="F11" s="210"/>
      <c r="G11" s="51"/>
    </row>
    <row r="12" spans="1:7" s="52" customFormat="1" ht="15" thickBot="1" x14ac:dyDescent="0.35">
      <c r="A12" s="162" t="s">
        <v>28</v>
      </c>
      <c r="B12" s="83">
        <f>SUM(B4:B11)</f>
        <v>20</v>
      </c>
      <c r="C12" s="162" t="str">
        <f xml:space="preserve"> setValueToTime(B12)</f>
        <v>1h40min</v>
      </c>
      <c r="D12" s="121"/>
      <c r="E12" s="211"/>
      <c r="F12" s="212"/>
      <c r="G12" s="51"/>
    </row>
    <row r="13" spans="1:7" s="59" customFormat="1" ht="15" thickBot="1" x14ac:dyDescent="0.35">
      <c r="A13" s="77"/>
      <c r="B13" s="77"/>
      <c r="C13" s="77"/>
      <c r="D13" s="77"/>
      <c r="E13" s="77"/>
      <c r="F13" s="77"/>
      <c r="G13" s="58"/>
    </row>
    <row r="14" spans="1:7" s="47" customFormat="1" ht="30" customHeight="1" thickBot="1" x14ac:dyDescent="0.3">
      <c r="A14" s="156" t="s">
        <v>13</v>
      </c>
      <c r="B14" s="164">
        <v>2</v>
      </c>
      <c r="C14" s="164"/>
      <c r="D14" s="157" t="s">
        <v>16</v>
      </c>
      <c r="E14" s="158" t="s">
        <v>85</v>
      </c>
      <c r="F14" s="159" t="s">
        <v>45</v>
      </c>
      <c r="G14" s="46"/>
    </row>
    <row r="15" spans="1:7" s="47" customFormat="1" ht="30" customHeight="1" thickBot="1" x14ac:dyDescent="0.3">
      <c r="A15" s="78" t="s">
        <v>5</v>
      </c>
      <c r="B15" s="161" t="s">
        <v>39</v>
      </c>
      <c r="C15" s="160"/>
      <c r="D15" s="78" t="s">
        <v>14</v>
      </c>
      <c r="E15" s="213" t="s">
        <v>15</v>
      </c>
      <c r="F15" s="214"/>
      <c r="G15" s="46"/>
    </row>
    <row r="16" spans="1:7" s="52" customFormat="1" ht="27" x14ac:dyDescent="0.3">
      <c r="A16" s="48" t="s">
        <v>97</v>
      </c>
      <c r="B16" s="49">
        <v>48</v>
      </c>
      <c r="C16" s="152" t="str">
        <f xml:space="preserve"> IF(B16="","",setValueToTime(B16))</f>
        <v>4h</v>
      </c>
      <c r="D16" s="165" t="s">
        <v>164</v>
      </c>
      <c r="E16" s="203"/>
      <c r="F16" s="204"/>
      <c r="G16" s="51"/>
    </row>
    <row r="17" spans="1:7" s="52" customFormat="1" x14ac:dyDescent="0.3">
      <c r="A17" s="53"/>
      <c r="B17" s="54"/>
      <c r="C17" s="153" t="str">
        <f t="shared" ref="C17:C23" si="1" xml:space="preserve"> IF(B17="","",setValueToTime(B17))</f>
        <v/>
      </c>
      <c r="D17" s="55"/>
      <c r="E17" s="205"/>
      <c r="F17" s="206"/>
      <c r="G17" s="51"/>
    </row>
    <row r="18" spans="1:7" s="52" customFormat="1" x14ac:dyDescent="0.3">
      <c r="A18" s="53"/>
      <c r="B18" s="54"/>
      <c r="C18" s="153" t="str">
        <f t="shared" si="1"/>
        <v/>
      </c>
      <c r="D18" s="55"/>
      <c r="E18" s="205"/>
      <c r="F18" s="206"/>
      <c r="G18" s="51"/>
    </row>
    <row r="19" spans="1:7" s="52" customFormat="1" x14ac:dyDescent="0.3">
      <c r="A19" s="53"/>
      <c r="B19" s="54"/>
      <c r="C19" s="153" t="str">
        <f t="shared" si="1"/>
        <v/>
      </c>
      <c r="D19" s="55"/>
      <c r="E19" s="205"/>
      <c r="F19" s="206"/>
      <c r="G19" s="51"/>
    </row>
    <row r="20" spans="1:7" s="52" customFormat="1" x14ac:dyDescent="0.3">
      <c r="A20" s="54"/>
      <c r="B20" s="54"/>
      <c r="C20" s="154" t="str">
        <f t="shared" si="1"/>
        <v/>
      </c>
      <c r="D20" s="55"/>
      <c r="E20" s="205"/>
      <c r="F20" s="206"/>
      <c r="G20" s="51"/>
    </row>
    <row r="21" spans="1:7" s="52" customFormat="1" x14ac:dyDescent="0.3">
      <c r="A21" s="54"/>
      <c r="B21" s="54"/>
      <c r="C21" s="154" t="str">
        <f t="shared" si="1"/>
        <v/>
      </c>
      <c r="D21" s="55"/>
      <c r="E21" s="205"/>
      <c r="F21" s="206"/>
      <c r="G21" s="51"/>
    </row>
    <row r="22" spans="1:7" s="52" customFormat="1" x14ac:dyDescent="0.3">
      <c r="A22" s="54"/>
      <c r="B22" s="54"/>
      <c r="C22" s="154" t="str">
        <f t="shared" si="1"/>
        <v/>
      </c>
      <c r="D22" s="55"/>
      <c r="E22" s="205"/>
      <c r="F22" s="206"/>
      <c r="G22" s="51"/>
    </row>
    <row r="23" spans="1:7" s="52" customFormat="1" ht="15" thickBot="1" x14ac:dyDescent="0.35">
      <c r="A23" s="56"/>
      <c r="B23" s="56"/>
      <c r="C23" s="155" t="str">
        <f t="shared" si="1"/>
        <v/>
      </c>
      <c r="D23" s="57"/>
      <c r="E23" s="209"/>
      <c r="F23" s="210"/>
      <c r="G23" s="51"/>
    </row>
    <row r="24" spans="1:7" s="52" customFormat="1" ht="15" thickBot="1" x14ac:dyDescent="0.35">
      <c r="A24" s="162" t="s">
        <v>28</v>
      </c>
      <c r="B24" s="83">
        <f>SUM(B16:B23)</f>
        <v>48</v>
      </c>
      <c r="C24" s="162" t="str">
        <f xml:space="preserve"> setValueToTime(B24)</f>
        <v>4h</v>
      </c>
      <c r="D24" s="121"/>
      <c r="E24" s="211"/>
      <c r="F24" s="212"/>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v>
      </c>
      <c r="C26" s="164"/>
      <c r="D26" s="157" t="s">
        <v>16</v>
      </c>
      <c r="E26" s="158" t="s">
        <v>86</v>
      </c>
      <c r="F26" s="159" t="s">
        <v>44</v>
      </c>
      <c r="G26" s="46"/>
    </row>
    <row r="27" spans="1:7" s="47" customFormat="1" ht="30" customHeight="1" thickBot="1" x14ac:dyDescent="0.3">
      <c r="A27" s="78" t="s">
        <v>5</v>
      </c>
      <c r="B27" s="161" t="s">
        <v>39</v>
      </c>
      <c r="C27" s="160"/>
      <c r="D27" s="78" t="s">
        <v>14</v>
      </c>
      <c r="E27" s="213" t="s">
        <v>15</v>
      </c>
      <c r="F27" s="214"/>
      <c r="G27" s="46"/>
    </row>
    <row r="28" spans="1:7" s="52" customFormat="1" ht="27" x14ac:dyDescent="0.3">
      <c r="A28" s="48" t="s">
        <v>89</v>
      </c>
      <c r="B28" s="49">
        <v>9</v>
      </c>
      <c r="C28" s="152" t="str">
        <f xml:space="preserve"> IF(B28="","",setValueToTime(B28))</f>
        <v>0h45min</v>
      </c>
      <c r="D28" s="165" t="s">
        <v>88</v>
      </c>
      <c r="E28" s="203"/>
      <c r="F28" s="204"/>
      <c r="G28" s="51"/>
    </row>
    <row r="29" spans="1:7" s="52" customFormat="1" ht="27" x14ac:dyDescent="0.3">
      <c r="A29" s="53" t="s">
        <v>43</v>
      </c>
      <c r="B29" s="54">
        <v>19</v>
      </c>
      <c r="C29" s="153" t="str">
        <f t="shared" ref="C29:C35" si="2" xml:space="preserve"> IF(B29="","",setValueToTime(B29))</f>
        <v>1h35min</v>
      </c>
      <c r="D29" s="166" t="s">
        <v>90</v>
      </c>
      <c r="E29" s="205"/>
      <c r="F29" s="206"/>
      <c r="G29" s="51"/>
    </row>
    <row r="30" spans="1:7" s="52" customFormat="1" x14ac:dyDescent="0.3">
      <c r="A30" s="53" t="s">
        <v>42</v>
      </c>
      <c r="B30" s="54">
        <v>7</v>
      </c>
      <c r="C30" s="153" t="str">
        <f t="shared" si="2"/>
        <v>0h35min</v>
      </c>
      <c r="D30" s="166" t="s">
        <v>92</v>
      </c>
      <c r="E30" s="205"/>
      <c r="F30" s="206"/>
      <c r="G30" s="51"/>
    </row>
    <row r="31" spans="1:7" s="52" customFormat="1" x14ac:dyDescent="0.3">
      <c r="A31" s="53" t="s">
        <v>87</v>
      </c>
      <c r="B31" s="54">
        <v>1</v>
      </c>
      <c r="C31" s="153" t="str">
        <f t="shared" si="2"/>
        <v>0h5min</v>
      </c>
      <c r="D31" s="166" t="s">
        <v>91</v>
      </c>
      <c r="E31" s="205"/>
      <c r="F31" s="206"/>
      <c r="G31" s="51"/>
    </row>
    <row r="32" spans="1:7" s="52" customFormat="1" x14ac:dyDescent="0.3">
      <c r="A32" s="54"/>
      <c r="B32" s="54"/>
      <c r="C32" s="154" t="str">
        <f t="shared" si="2"/>
        <v/>
      </c>
      <c r="D32" s="55"/>
      <c r="E32" s="205"/>
      <c r="F32" s="206"/>
      <c r="G32" s="51"/>
    </row>
    <row r="33" spans="1:7" s="52" customFormat="1" x14ac:dyDescent="0.3">
      <c r="A33" s="54"/>
      <c r="B33" s="54"/>
      <c r="C33" s="154" t="str">
        <f t="shared" si="2"/>
        <v/>
      </c>
      <c r="D33" s="55"/>
      <c r="E33" s="205"/>
      <c r="F33" s="206"/>
      <c r="G33" s="51"/>
    </row>
    <row r="34" spans="1:7" s="52" customFormat="1" x14ac:dyDescent="0.3">
      <c r="A34" s="54"/>
      <c r="B34" s="54"/>
      <c r="C34" s="154" t="str">
        <f t="shared" si="2"/>
        <v/>
      </c>
      <c r="D34" s="55"/>
      <c r="E34" s="205"/>
      <c r="F34" s="206"/>
      <c r="G34" s="51"/>
    </row>
    <row r="35" spans="1:7" s="52" customFormat="1" ht="15" thickBot="1" x14ac:dyDescent="0.35">
      <c r="A35" s="56"/>
      <c r="B35" s="56"/>
      <c r="C35" s="155" t="str">
        <f t="shared" si="2"/>
        <v/>
      </c>
      <c r="D35" s="57"/>
      <c r="E35" s="209"/>
      <c r="F35" s="210"/>
      <c r="G35" s="51"/>
    </row>
    <row r="36" spans="1:7" s="52" customFormat="1" ht="15" thickBot="1" x14ac:dyDescent="0.35">
      <c r="A36" s="162" t="s">
        <v>28</v>
      </c>
      <c r="B36" s="83">
        <f>SUM(B28:B35)</f>
        <v>36</v>
      </c>
      <c r="C36" s="162" t="str">
        <f xml:space="preserve"> setValueToTime(B36)</f>
        <v>3h</v>
      </c>
      <c r="D36" s="121"/>
      <c r="E36" s="211"/>
      <c r="F36" s="212"/>
      <c r="G36" s="51"/>
    </row>
    <row r="37" spans="1:7" s="59" customFormat="1" x14ac:dyDescent="0.3">
      <c r="A37" s="77"/>
      <c r="B37" s="77"/>
      <c r="C37" s="77"/>
      <c r="D37" s="77"/>
      <c r="E37" s="77"/>
      <c r="F37" s="77"/>
      <c r="G37" s="58"/>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3:F33"/>
    <mergeCell ref="E34:F34"/>
    <mergeCell ref="E35:F35"/>
    <mergeCell ref="E36:F36"/>
    <mergeCell ref="E27:F27"/>
    <mergeCell ref="E28:F28"/>
    <mergeCell ref="E29:F29"/>
    <mergeCell ref="E30:F30"/>
    <mergeCell ref="E31:F31"/>
    <mergeCell ref="E32:F32"/>
  </mergeCells>
  <phoneticPr fontId="0" type="noConversion"/>
  <conditionalFormatting sqref="B36">
    <cfRule type="cellIs" dxfId="6" priority="5" operator="greaterThan">
      <formula>60</formula>
    </cfRule>
  </conditionalFormatting>
  <conditionalFormatting sqref="B24">
    <cfRule type="cellIs" dxfId="5" priority="2" operator="greaterThan">
      <formula>60</formula>
    </cfRule>
  </conditionalFormatting>
  <conditionalFormatting sqref="B12">
    <cfRule type="cellIs" dxfId="4"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formula1>0</formula1>
      <formula2>60</formula2>
    </dataValidation>
    <dataValidation type="list" allowBlank="1" showInputMessage="1" showErrorMessage="1" sqref="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69"/>
      <c r="B10" s="169"/>
      <c r="C10" s="169"/>
      <c r="D10" s="169"/>
      <c r="E10" s="169"/>
      <c r="F10" s="169"/>
      <c r="G10" s="169"/>
      <c r="H10" s="169"/>
      <c r="I10" s="169"/>
      <c r="J10" s="169"/>
      <c r="K10" s="169"/>
      <c r="L10" s="169"/>
      <c r="M10" s="169"/>
      <c r="N10" s="169"/>
      <c r="O10" s="169"/>
      <c r="P10" s="169"/>
      <c r="Q10" s="169"/>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90"/>
    </row>
    <row r="11" spans="1:61" ht="18" x14ac:dyDescent="0.25">
      <c r="A11" s="170"/>
      <c r="B11" s="170"/>
      <c r="C11" s="170"/>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90"/>
    </row>
    <row r="12" spans="1:61" ht="18.75" thickBot="1" x14ac:dyDescent="0.3">
      <c r="A12" s="171"/>
      <c r="B12" s="171"/>
      <c r="C12" s="171"/>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1"/>
      <c r="AB12" s="171"/>
      <c r="AC12" s="171"/>
      <c r="AD12" s="171"/>
      <c r="AE12" s="171"/>
      <c r="AF12" s="171"/>
      <c r="AG12" s="171"/>
      <c r="AH12" s="171"/>
      <c r="AI12" s="171"/>
      <c r="AJ12" s="171"/>
      <c r="AK12" s="171"/>
      <c r="AL12" s="171"/>
      <c r="AM12" s="171"/>
      <c r="AN12" s="171"/>
      <c r="AO12" s="171"/>
      <c r="AP12" s="171"/>
      <c r="AQ12" s="171"/>
      <c r="AR12" s="171"/>
      <c r="AS12" s="171"/>
      <c r="AT12" s="171"/>
      <c r="AU12" s="171"/>
      <c r="AV12" s="171"/>
      <c r="AW12" s="171"/>
      <c r="AX12" s="171"/>
      <c r="AY12" s="171"/>
      <c r="AZ12" s="171"/>
      <c r="BA12" s="171"/>
      <c r="BB12" s="171"/>
      <c r="BC12" s="171"/>
      <c r="BD12" s="171"/>
      <c r="BE12" s="171"/>
      <c r="BF12" s="171"/>
      <c r="BG12" s="171"/>
      <c r="BH12" s="171"/>
      <c r="BI12" s="90"/>
    </row>
    <row r="13" spans="1:61" ht="18.75" thickBot="1" x14ac:dyDescent="0.3">
      <c r="A13" s="172" t="s">
        <v>13</v>
      </c>
      <c r="B13" s="173"/>
      <c r="C13" s="17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4"/>
      <c r="BI13" s="90"/>
    </row>
    <row r="14" spans="1:61" ht="15.75" thickBot="1" x14ac:dyDescent="0.35">
      <c r="A14" s="103"/>
      <c r="B14" s="104"/>
      <c r="C14" s="104"/>
      <c r="D14" s="104"/>
      <c r="E14" s="175" t="s">
        <v>33</v>
      </c>
      <c r="F14" s="175"/>
      <c r="G14" s="175"/>
      <c r="H14" s="175"/>
      <c r="I14" s="104"/>
      <c r="J14" s="104"/>
      <c r="K14" s="176" t="s">
        <v>23</v>
      </c>
      <c r="L14" s="176"/>
      <c r="M14" s="176"/>
      <c r="N14" s="176"/>
      <c r="O14" s="129"/>
      <c r="P14" s="129"/>
      <c r="Q14" s="175" t="s">
        <v>34</v>
      </c>
      <c r="R14" s="175"/>
      <c r="S14" s="175"/>
      <c r="T14" s="175"/>
      <c r="U14" s="104"/>
      <c r="V14" s="104"/>
      <c r="W14" s="176" t="s">
        <v>24</v>
      </c>
      <c r="X14" s="176"/>
      <c r="Y14" s="176"/>
      <c r="Z14" s="176"/>
      <c r="AA14" s="129"/>
      <c r="AB14" s="129"/>
      <c r="AC14" s="175" t="s">
        <v>35</v>
      </c>
      <c r="AD14" s="175"/>
      <c r="AE14" s="175"/>
      <c r="AF14" s="175"/>
      <c r="AG14" s="104"/>
      <c r="AH14" s="104"/>
      <c r="AI14" s="176" t="s">
        <v>25</v>
      </c>
      <c r="AJ14" s="176"/>
      <c r="AK14" s="176"/>
      <c r="AL14" s="176"/>
      <c r="AM14" s="129"/>
      <c r="AN14" s="129"/>
      <c r="AO14" s="175" t="s">
        <v>36</v>
      </c>
      <c r="AP14" s="175"/>
      <c r="AQ14" s="175"/>
      <c r="AR14" s="175"/>
      <c r="AS14" s="104"/>
      <c r="AT14" s="104"/>
      <c r="AU14" s="176" t="s">
        <v>26</v>
      </c>
      <c r="AV14" s="176"/>
      <c r="AW14" s="176"/>
      <c r="AX14" s="176"/>
      <c r="AY14" s="129"/>
      <c r="AZ14" s="129"/>
      <c r="BA14" s="175" t="s">
        <v>37</v>
      </c>
      <c r="BB14" s="175"/>
      <c r="BC14" s="175"/>
      <c r="BD14" s="17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01" t="s">
        <v>15</v>
      </c>
      <c r="F2" s="202"/>
      <c r="G2" s="46"/>
    </row>
    <row r="3" spans="1:7" s="52" customFormat="1" x14ac:dyDescent="0.3">
      <c r="A3" s="48"/>
      <c r="B3" s="49"/>
      <c r="C3" s="152" t="str">
        <f xml:space="preserve"> IF(B3="","",setValueToTime(B3))</f>
        <v/>
      </c>
      <c r="D3" s="50"/>
      <c r="E3" s="203"/>
      <c r="F3" s="204"/>
      <c r="G3" s="51"/>
    </row>
    <row r="4" spans="1:7" s="52" customFormat="1" x14ac:dyDescent="0.3">
      <c r="A4" s="53"/>
      <c r="B4" s="54"/>
      <c r="C4" s="153" t="str">
        <f t="shared" ref="C4:C10" si="0" xml:space="preserve"> IF(B4="","",setValueToTime(B4))</f>
        <v/>
      </c>
      <c r="D4" s="55"/>
      <c r="E4" s="205"/>
      <c r="F4" s="206"/>
      <c r="G4" s="51"/>
    </row>
    <row r="5" spans="1:7" s="52" customFormat="1" x14ac:dyDescent="0.3">
      <c r="A5" s="53"/>
      <c r="B5" s="54"/>
      <c r="C5" s="153" t="str">
        <f t="shared" si="0"/>
        <v/>
      </c>
      <c r="D5" s="55"/>
      <c r="E5" s="205"/>
      <c r="F5" s="206"/>
      <c r="G5" s="51"/>
    </row>
    <row r="6" spans="1:7" s="52" customFormat="1" x14ac:dyDescent="0.3">
      <c r="A6" s="53"/>
      <c r="B6" s="54"/>
      <c r="C6" s="153" t="str">
        <f t="shared" si="0"/>
        <v/>
      </c>
      <c r="D6" s="55"/>
      <c r="E6" s="205"/>
      <c r="F6" s="206"/>
      <c r="G6" s="51"/>
    </row>
    <row r="7" spans="1:7" s="52" customFormat="1" x14ac:dyDescent="0.3">
      <c r="A7" s="54"/>
      <c r="B7" s="54"/>
      <c r="C7" s="154" t="str">
        <f t="shared" si="0"/>
        <v/>
      </c>
      <c r="D7" s="55"/>
      <c r="E7" s="205"/>
      <c r="F7" s="206"/>
      <c r="G7" s="51"/>
    </row>
    <row r="8" spans="1:7" s="52" customFormat="1" x14ac:dyDescent="0.3">
      <c r="A8" s="54"/>
      <c r="B8" s="54"/>
      <c r="C8" s="154" t="str">
        <f t="shared" si="0"/>
        <v/>
      </c>
      <c r="D8" s="55"/>
      <c r="E8" s="205"/>
      <c r="F8" s="206"/>
      <c r="G8" s="51"/>
    </row>
    <row r="9" spans="1:7" s="52" customFormat="1" x14ac:dyDescent="0.3">
      <c r="A9" s="54"/>
      <c r="B9" s="54"/>
      <c r="C9" s="154" t="str">
        <f t="shared" si="0"/>
        <v/>
      </c>
      <c r="D9" s="55"/>
      <c r="E9" s="205"/>
      <c r="F9" s="206"/>
      <c r="G9" s="51"/>
    </row>
    <row r="10" spans="1:7" s="52" customFormat="1" ht="15" thickBot="1" x14ac:dyDescent="0.35">
      <c r="A10" s="56"/>
      <c r="B10" s="56"/>
      <c r="C10" s="155" t="str">
        <f t="shared" si="0"/>
        <v/>
      </c>
      <c r="D10" s="57"/>
      <c r="E10" s="209"/>
      <c r="F10" s="210"/>
      <c r="G10" s="51"/>
    </row>
    <row r="11" spans="1:7" s="52" customFormat="1" ht="15" thickBot="1" x14ac:dyDescent="0.35">
      <c r="A11" s="111" t="s">
        <v>28</v>
      </c>
      <c r="B11" s="84">
        <f>SUM(B3:B10)</f>
        <v>0</v>
      </c>
      <c r="C11" s="111" t="str">
        <f xml:space="preserve"> setValueToTime(B11)</f>
        <v>0h</v>
      </c>
      <c r="D11" s="120"/>
      <c r="E11" s="207"/>
      <c r="F11" s="208"/>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13" t="s">
        <v>15</v>
      </c>
      <c r="F2" s="214"/>
      <c r="G2" s="46"/>
    </row>
    <row r="3" spans="1:7" s="52" customFormat="1" x14ac:dyDescent="0.3">
      <c r="A3" s="48"/>
      <c r="B3" s="49"/>
      <c r="C3" s="152" t="str">
        <f xml:space="preserve"> IF(B3="","",setValueToTime(B3))</f>
        <v/>
      </c>
      <c r="D3" s="50"/>
      <c r="E3" s="203"/>
      <c r="F3" s="204"/>
      <c r="G3" s="51"/>
    </row>
    <row r="4" spans="1:7" s="52" customFormat="1" x14ac:dyDescent="0.3">
      <c r="A4" s="53"/>
      <c r="B4" s="54"/>
      <c r="C4" s="153" t="str">
        <f t="shared" ref="C4:C10" si="0" xml:space="preserve"> IF(B4="","",setValueToTime(B4))</f>
        <v/>
      </c>
      <c r="D4" s="55"/>
      <c r="E4" s="205"/>
      <c r="F4" s="206"/>
      <c r="G4" s="51"/>
    </row>
    <row r="5" spans="1:7" s="52" customFormat="1" x14ac:dyDescent="0.3">
      <c r="A5" s="53"/>
      <c r="B5" s="54"/>
      <c r="C5" s="153" t="str">
        <f t="shared" si="0"/>
        <v/>
      </c>
      <c r="D5" s="55"/>
      <c r="E5" s="205"/>
      <c r="F5" s="206"/>
      <c r="G5" s="51"/>
    </row>
    <row r="6" spans="1:7" s="52" customFormat="1" x14ac:dyDescent="0.3">
      <c r="A6" s="53"/>
      <c r="B6" s="54"/>
      <c r="C6" s="153" t="str">
        <f t="shared" si="0"/>
        <v/>
      </c>
      <c r="D6" s="55"/>
      <c r="E6" s="205"/>
      <c r="F6" s="206"/>
      <c r="G6" s="51"/>
    </row>
    <row r="7" spans="1:7" s="52" customFormat="1" x14ac:dyDescent="0.3">
      <c r="A7" s="54"/>
      <c r="B7" s="54"/>
      <c r="C7" s="154" t="str">
        <f t="shared" si="0"/>
        <v/>
      </c>
      <c r="D7" s="55"/>
      <c r="E7" s="205"/>
      <c r="F7" s="206"/>
      <c r="G7" s="51"/>
    </row>
    <row r="8" spans="1:7" s="52" customFormat="1" x14ac:dyDescent="0.3">
      <c r="A8" s="54"/>
      <c r="B8" s="54"/>
      <c r="C8" s="154" t="str">
        <f t="shared" si="0"/>
        <v/>
      </c>
      <c r="D8" s="55"/>
      <c r="E8" s="205"/>
      <c r="F8" s="206"/>
      <c r="G8" s="51"/>
    </row>
    <row r="9" spans="1:7" s="52" customFormat="1" x14ac:dyDescent="0.3">
      <c r="A9" s="54"/>
      <c r="B9" s="54"/>
      <c r="C9" s="154" t="str">
        <f t="shared" si="0"/>
        <v/>
      </c>
      <c r="D9" s="55"/>
      <c r="E9" s="205"/>
      <c r="F9" s="206"/>
      <c r="G9" s="51"/>
    </row>
    <row r="10" spans="1:7" s="52" customFormat="1" ht="15" thickBot="1" x14ac:dyDescent="0.35">
      <c r="A10" s="56"/>
      <c r="B10" s="56"/>
      <c r="C10" s="155" t="str">
        <f t="shared" si="0"/>
        <v/>
      </c>
      <c r="D10" s="57"/>
      <c r="E10" s="209"/>
      <c r="F10" s="210"/>
      <c r="G10" s="51"/>
    </row>
    <row r="11" spans="1:7" s="52" customFormat="1" ht="15" thickBot="1" x14ac:dyDescent="0.35">
      <c r="A11" s="162" t="s">
        <v>28</v>
      </c>
      <c r="B11" s="83">
        <f>SUM(B3:B10)</f>
        <v>0</v>
      </c>
      <c r="C11" s="162" t="str">
        <f xml:space="preserve"> setValueToTime(B11)</f>
        <v>0h</v>
      </c>
      <c r="D11" s="121"/>
      <c r="E11" s="211"/>
      <c r="F11" s="21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2021-04-29T13:17:37Z</dcterms:modified>
</cp:coreProperties>
</file>