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17" i="12"/>
  <c r="C16" i="12"/>
  <c r="C24" i="12"/>
  <c r="C7" i="12"/>
  <c r="C6" i="12"/>
  <c r="C5" i="12"/>
  <c r="C4" i="12"/>
  <c r="C12" i="12"/>
  <c r="B36" i="12" l="1"/>
  <c r="C35" i="12"/>
  <c r="C34" i="12"/>
  <c r="C33" i="12"/>
  <c r="C32" i="12"/>
  <c r="B48" i="12"/>
  <c r="C47" i="12"/>
  <c r="C46" i="12"/>
  <c r="C45" i="12"/>
  <c r="C44" i="12"/>
  <c r="C43" i="12"/>
  <c r="C42" i="12"/>
  <c r="C41" i="12"/>
  <c r="B60" i="12"/>
  <c r="C59" i="12"/>
  <c r="C58" i="12"/>
  <c r="C57" i="12"/>
  <c r="C56" i="12"/>
  <c r="C55" i="12"/>
  <c r="C54" i="12"/>
  <c r="C53" i="12"/>
  <c r="C31" i="12"/>
  <c r="C36" i="12"/>
  <c r="C40" i="12"/>
  <c r="C48" i="12"/>
  <c r="C52" i="12"/>
  <c r="C60" i="12"/>
  <c r="C30" i="12"/>
  <c r="C29" i="12"/>
  <c r="C28" i="12"/>
  <c r="B72" i="12" l="1"/>
  <c r="C71" i="12"/>
  <c r="C70" i="12"/>
  <c r="C69" i="12"/>
  <c r="C68" i="12"/>
  <c r="C67" i="12"/>
  <c r="C66" i="12"/>
  <c r="B84" i="12"/>
  <c r="C83" i="12"/>
  <c r="C82" i="12"/>
  <c r="C81" i="12"/>
  <c r="C80" i="12"/>
  <c r="C76" i="12"/>
  <c r="C84" i="12"/>
  <c r="C78" i="12"/>
  <c r="C77" i="12"/>
  <c r="C65" i="12"/>
  <c r="C64" i="12"/>
  <c r="C72" i="12"/>
  <c r="C79" i="12"/>
  <c r="B96" i="12" l="1"/>
  <c r="C95" i="12"/>
  <c r="C94" i="12"/>
  <c r="C93" i="12"/>
  <c r="C92" i="12"/>
  <c r="C88" i="12"/>
  <c r="C96" i="12"/>
  <c r="C90" i="12"/>
  <c r="C91" i="12"/>
  <c r="C89" i="12"/>
  <c r="B108" i="12" l="1"/>
  <c r="C107" i="12"/>
  <c r="C106" i="12"/>
  <c r="C105" i="12"/>
  <c r="C104" i="12"/>
  <c r="C103" i="12"/>
  <c r="B120" i="12"/>
  <c r="C119" i="12"/>
  <c r="C118" i="12"/>
  <c r="C117" i="12"/>
  <c r="C116" i="12"/>
  <c r="C115" i="12"/>
  <c r="C102" i="12"/>
  <c r="C101" i="12"/>
  <c r="C108" i="12"/>
  <c r="C114" i="12"/>
  <c r="C100" i="12"/>
  <c r="C112" i="12"/>
  <c r="C120" i="12"/>
  <c r="C113" i="12"/>
  <c r="B132" i="12" l="1"/>
  <c r="C131" i="12"/>
  <c r="C130" i="12"/>
  <c r="C129" i="12"/>
  <c r="C128" i="12"/>
  <c r="B144" i="12"/>
  <c r="C143" i="12"/>
  <c r="C142" i="12"/>
  <c r="C141" i="12"/>
  <c r="C140" i="12"/>
  <c r="C139" i="12"/>
  <c r="C138" i="12"/>
  <c r="C137" i="12"/>
  <c r="E95" i="1"/>
  <c r="C127" i="12"/>
  <c r="C124" i="12"/>
  <c r="C126" i="12"/>
  <c r="C144" i="12"/>
  <c r="C125" i="12"/>
  <c r="C132" i="12"/>
  <c r="C71" i="10"/>
  <c r="C136" i="12"/>
  <c r="C155" i="10"/>
  <c r="B156" i="12" l="1"/>
  <c r="C155" i="12"/>
  <c r="C154" i="12"/>
  <c r="C153" i="12"/>
  <c r="C15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67" i="10"/>
  <c r="C168" i="10"/>
  <c r="C59" i="10"/>
  <c r="C112" i="10"/>
  <c r="C94" i="10"/>
  <c r="C41" i="10"/>
  <c r="C122" i="10"/>
  <c r="C141" i="10"/>
  <c r="C130" i="10"/>
  <c r="C150" i="12"/>
  <c r="C135" i="10"/>
  <c r="C23" i="10"/>
  <c r="C117" i="10"/>
  <c r="C129" i="10"/>
  <c r="C11" i="10"/>
  <c r="C54" i="10"/>
  <c r="C86" i="10"/>
  <c r="C99" i="10"/>
  <c r="C128" i="10"/>
  <c r="C153" i="10"/>
  <c r="C134" i="10"/>
  <c r="C167" i="10"/>
  <c r="C65" i="10"/>
  <c r="C34" i="10"/>
  <c r="C5" i="10"/>
  <c r="C102" i="10"/>
  <c r="C166" i="10"/>
  <c r="C152" i="10"/>
  <c r="C148" i="12"/>
  <c r="C147" i="10"/>
  <c r="C148" i="10"/>
  <c r="C162" i="10"/>
  <c r="C74" i="10"/>
  <c r="C80" i="10"/>
  <c r="C9" i="10"/>
  <c r="C72" i="10"/>
  <c r="C17" i="10"/>
  <c r="C123" i="10"/>
  <c r="C113" i="10"/>
  <c r="C22" i="10"/>
  <c r="C4" i="10"/>
  <c r="C52" i="10"/>
  <c r="C79" i="10"/>
  <c r="C98" i="10"/>
  <c r="C10" i="10"/>
  <c r="C160" i="10"/>
  <c r="C81" i="10"/>
  <c r="C136" i="10"/>
  <c r="C108" i="10"/>
  <c r="C27" i="10"/>
  <c r="C101" i="10"/>
  <c r="C42" i="10"/>
  <c r="C85" i="10"/>
  <c r="C149" i="12"/>
  <c r="C92" i="10"/>
  <c r="C107" i="10"/>
  <c r="C154" i="10"/>
  <c r="C118" i="10"/>
  <c r="C58" i="10"/>
  <c r="C142" i="10"/>
  <c r="C161" i="10"/>
  <c r="C33" i="10"/>
  <c r="C124" i="10"/>
  <c r="C35" i="10"/>
  <c r="C146" i="10"/>
  <c r="C151" i="12"/>
  <c r="C46" i="10"/>
  <c r="C21" i="10"/>
  <c r="C87" i="10"/>
  <c r="C53" i="10"/>
  <c r="C29" i="10"/>
  <c r="C28" i="10"/>
  <c r="C40" i="10"/>
  <c r="C60" i="10"/>
  <c r="C78" i="10"/>
  <c r="C106" i="10"/>
  <c r="C140" i="10"/>
  <c r="C156" i="10"/>
  <c r="C156" i="12"/>
  <c r="C15" i="10"/>
  <c r="C66" i="10"/>
  <c r="C93" i="10"/>
  <c r="C16" i="10"/>
  <c r="C73" i="10"/>
  <c r="C39" i="10"/>
  <c r="C88" i="10"/>
  <c r="C64" i="10"/>
  <c r="C47" i="10"/>
  <c r="C48" i="10"/>
  <c r="C100" i="10"/>
  <c r="C10" i="15" l="1"/>
  <c r="C9" i="15"/>
  <c r="C8" i="15"/>
  <c r="C7" i="15"/>
  <c r="C6" i="15"/>
  <c r="C5" i="15"/>
  <c r="C4" i="15"/>
  <c r="C3" i="15"/>
  <c r="B11" i="15"/>
  <c r="C10" i="16"/>
  <c r="C9" i="16"/>
  <c r="C8" i="16"/>
  <c r="C7" i="16"/>
  <c r="C6" i="16"/>
  <c r="C5" i="16"/>
  <c r="C4" i="16"/>
  <c r="C3" i="16"/>
  <c r="B11" i="16"/>
  <c r="D67" i="1"/>
  <c r="D52" i="1"/>
  <c r="C11" i="15"/>
  <c r="D81" i="1"/>
  <c r="D65" i="1"/>
  <c r="D49" i="1"/>
  <c r="D33" i="1"/>
  <c r="D17" i="1"/>
  <c r="D82" i="1"/>
  <c r="D66" i="1"/>
  <c r="D50" i="1"/>
  <c r="D34" i="1"/>
  <c r="D18" i="1"/>
  <c r="C11" i="16"/>
  <c r="D79" i="1"/>
  <c r="D63" i="1"/>
  <c r="D47" i="1"/>
  <c r="D31" i="1"/>
  <c r="D15" i="1"/>
  <c r="D80" i="1"/>
  <c r="D64" i="1"/>
  <c r="D48" i="1"/>
  <c r="D32" i="1"/>
  <c r="D16" i="1"/>
  <c r="D75" i="1"/>
  <c r="D59" i="1"/>
  <c r="D27" i="1"/>
  <c r="D92" i="1"/>
  <c r="D60" i="1"/>
  <c r="D28" i="1"/>
  <c r="D93" i="1"/>
  <c r="D77" i="1"/>
  <c r="D61" i="1"/>
  <c r="D45" i="1"/>
  <c r="D29" i="1"/>
  <c r="D94" i="1"/>
  <c r="D78" i="1"/>
  <c r="D62" i="1"/>
  <c r="D46" i="1"/>
  <c r="D30" i="1"/>
  <c r="D43" i="1"/>
  <c r="D76" i="1"/>
  <c r="D44" i="1"/>
  <c r="D91" i="1"/>
  <c r="D89" i="1"/>
  <c r="D73" i="1"/>
  <c r="D57" i="1"/>
  <c r="D41" i="1"/>
  <c r="D25" i="1"/>
  <c r="D90" i="1"/>
  <c r="D74" i="1"/>
  <c r="D58" i="1"/>
  <c r="D42" i="1"/>
  <c r="D26" i="1"/>
  <c r="D38" i="1"/>
  <c r="D83" i="1"/>
  <c r="D35" i="1"/>
  <c r="D84" i="1"/>
  <c r="D36" i="1"/>
  <c r="D87" i="1"/>
  <c r="D71" i="1"/>
  <c r="D55" i="1"/>
  <c r="D39" i="1"/>
  <c r="D23" i="1"/>
  <c r="D88" i="1"/>
  <c r="D72" i="1"/>
  <c r="D56" i="1"/>
  <c r="D40" i="1"/>
  <c r="D24" i="1"/>
  <c r="D85" i="1"/>
  <c r="D69" i="1"/>
  <c r="D53" i="1"/>
  <c r="D37" i="1"/>
  <c r="D21" i="1"/>
  <c r="D86" i="1"/>
  <c r="D70" i="1"/>
  <c r="D54" i="1"/>
  <c r="D22" i="1"/>
  <c r="D51" i="1"/>
  <c r="D19" i="1"/>
  <c r="D68"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<sst xmlns="http://schemas.openxmlformats.org/spreadsheetml/2006/main" count="1035" uniqueCount="203">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</sst>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15</xdr:row>
      <xdr:rowOff>76200</xdr:rowOff>
    </xdr:from>
    <xdr:to>
      <xdr:col>5</xdr:col>
      <xdr:colOff>963135</xdr:colOff>
      <xdr:row>19</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WM10" zoomScale="55" zoomScaleNormal="55" zoomScaleSheetLayoutView="43" workbookViewId="0">
      <selection activeCell="ADN36" sqref="ADN36"/>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11" t="s">
        <v>30</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6" t="str">
        <f>E96</f>
        <v>90h</v>
      </c>
      <c r="H9" s="216"/>
      <c r="I9" s="216"/>
      <c r="J9" s="216"/>
      <c r="K9" s="216"/>
      <c r="L9" s="216"/>
      <c r="M9" s="216"/>
      <c r="N9" s="216"/>
      <c r="O9" s="216"/>
      <c r="P9" s="216"/>
      <c r="Q9" s="216"/>
      <c r="R9" s="216"/>
      <c r="S9" s="216"/>
      <c r="T9" s="216"/>
      <c r="U9" s="216"/>
      <c r="V9" s="119"/>
      <c r="W9" s="225" t="s">
        <v>22</v>
      </c>
      <c r="X9" s="225"/>
      <c r="Y9" s="225"/>
      <c r="Z9" s="225"/>
      <c r="AA9" s="225"/>
      <c r="AB9" s="225"/>
      <c r="AC9" s="225"/>
      <c r="AD9" s="225"/>
      <c r="AE9" s="225"/>
      <c r="AF9" s="225"/>
      <c r="AG9" s="225"/>
      <c r="AH9" s="216" t="str">
        <f>E98</f>
        <v>32h20min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row>
    <row r="11" spans="1:1744" ht="20.100000000000001" customHeight="1" x14ac:dyDescent="0.25">
      <c r="B11" s="96"/>
      <c r="C11" s="221"/>
      <c r="D11" s="221"/>
      <c r="E11" s="221"/>
      <c r="F11" s="224" t="s">
        <v>86</v>
      </c>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t="s">
        <v>85</v>
      </c>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4"/>
      <c r="CU11" s="224"/>
      <c r="CV11" s="224"/>
      <c r="CW11" s="224"/>
      <c r="CX11" s="224"/>
      <c r="CY11" s="224"/>
      <c r="CZ11" s="224"/>
      <c r="DA11" s="224"/>
      <c r="DB11" s="224"/>
      <c r="DC11" s="224"/>
      <c r="DD11" s="224"/>
      <c r="DE11" s="224"/>
      <c r="DF11" s="224"/>
      <c r="DG11" s="224"/>
      <c r="DH11" s="224"/>
      <c r="DI11" s="224"/>
      <c r="DJ11" s="224"/>
      <c r="DK11" s="224"/>
      <c r="DL11" s="224"/>
      <c r="DM11" s="224"/>
      <c r="DN11" s="224"/>
      <c r="DO11" s="224"/>
      <c r="DP11" s="224"/>
      <c r="DQ11" s="224"/>
      <c r="DR11" s="224"/>
      <c r="DS11" s="224"/>
      <c r="DT11" s="224"/>
      <c r="DU11" s="224"/>
      <c r="DV11" s="204" t="s">
        <v>85</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83</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83</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81</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78</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78</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75</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75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72</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72</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70</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67</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67</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61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58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58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55</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55</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52</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52</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48</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48</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47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47</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46</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46</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row>
    <row r="12" spans="1:1744" ht="15.75" customHeight="1" thickBot="1" x14ac:dyDescent="0.3">
      <c r="B12" s="97"/>
      <c r="C12" s="222"/>
      <c r="D12" s="222"/>
      <c r="E12" s="222"/>
      <c r="F12" s="223" t="s">
        <v>44</v>
      </c>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t="s">
        <v>45</v>
      </c>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05" t="s">
        <v>44</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45</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44</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45</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45</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44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45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44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45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44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45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45</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44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45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45</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44</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t="s">
        <v>45</v>
      </c>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t="s">
        <v>44</v>
      </c>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t="s">
        <v>45</v>
      </c>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t="s">
        <v>44</v>
      </c>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t="s">
        <v>45</v>
      </c>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t="s">
        <v>44</v>
      </c>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t="s">
        <v>45</v>
      </c>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t="s">
        <v>44</v>
      </c>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t="s">
        <v>45</v>
      </c>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t="s">
        <v>44</v>
      </c>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row>
    <row r="13" spans="1:1744" ht="42.75" customHeight="1" thickBot="1" x14ac:dyDescent="0.3">
      <c r="B13" s="96"/>
      <c r="C13" s="217" t="s">
        <v>7</v>
      </c>
      <c r="D13" s="144"/>
      <c r="E13" s="219" t="s">
        <v>38</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84</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82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80</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79</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77</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76</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74</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73</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71</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69</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68</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66</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65</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64</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63</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62</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60</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59</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57</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56</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54</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53</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51</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50</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49</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row>
    <row r="14" spans="1:1744" ht="12.75" customHeight="1" thickBot="1" x14ac:dyDescent="0.35">
      <c r="B14" s="96"/>
      <c r="C14" s="218"/>
      <c r="D14" s="145"/>
      <c r="E14" s="220"/>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1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4"/>
      <c r="D16" s="147" t="str">
        <f t="shared" ref="D16:D79" si="0">setValueToTime(E16)</f>
        <v>7h25min</v>
      </c>
      <c r="E16" s="35">
        <v>89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1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4"/>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1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15"/>
      <c r="D20" s="147" t="str">
        <f t="shared" si="0"/>
        <v>0h10min</v>
      </c>
      <c r="E20" s="27">
        <v>2</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1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15"/>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1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1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1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4"/>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1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4"/>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1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4"/>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1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15"/>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1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1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15"/>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1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4"/>
      <c r="D38" s="148" t="str">
        <f t="shared" si="0"/>
        <v>4h30min</v>
      </c>
      <c r="E38" s="35">
        <v>54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1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1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1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1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1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4"/>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1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1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15"/>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1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4"/>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1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1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1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4"/>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1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1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1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1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1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1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1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1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1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1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1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1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1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1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1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1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1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1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1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1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1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1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1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1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1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1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31" t="s">
        <v>9</v>
      </c>
      <c r="D95" s="232"/>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33"/>
      <c r="D96" s="234"/>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7" t="s">
        <v>10</v>
      </c>
      <c r="D97" s="228"/>
      <c r="E97" s="118">
        <f>SUM(E16,E18,E20,E22,E24,E26,E28,E30,E32,E34,E36,E38,E40,E42,E44,E46,E48,E50,E52,E54,E56,E58,E60,E62,E64,E66,E68,E70,E72,E74,E76,E78,E80,E82,E84,E86,E88,E90,E92,E94)</f>
        <v>388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9"/>
      <c r="D98" s="230"/>
      <c r="E98" s="122" t="str">
        <f xml:space="preserve"> setValueToTime(E97)</f>
        <v>32h20min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83"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5" t="s">
        <v>15</v>
      </c>
      <c r="F3" s="236"/>
      <c r="G3" s="46"/>
    </row>
    <row r="4" spans="1:7" s="52" customFormat="1" ht="27.75" thickBot="1" x14ac:dyDescent="0.35">
      <c r="A4" s="192" t="s">
        <v>121</v>
      </c>
      <c r="B4" s="54">
        <v>12</v>
      </c>
      <c r="C4" s="152" t="str">
        <f xml:space="preserve"> IF(B4="","",setValueToTime(B4))</f>
        <v>1h</v>
      </c>
      <c r="D4" s="165" t="s">
        <v>133</v>
      </c>
      <c r="E4" s="237"/>
      <c r="F4" s="238"/>
      <c r="G4" s="51"/>
    </row>
    <row r="5" spans="1:7" s="52" customFormat="1" ht="15" thickBot="1" x14ac:dyDescent="0.35">
      <c r="A5" s="111" t="s">
        <v>28</v>
      </c>
      <c r="B5" s="84">
        <f>SUM(B4:B4)</f>
        <v>12</v>
      </c>
      <c r="C5" s="111" t="str">
        <f xml:space="preserve"> setValueToTime(B5)</f>
        <v>1h</v>
      </c>
      <c r="D5" s="120"/>
      <c r="E5" s="239"/>
      <c r="F5" s="240"/>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5" t="s">
        <v>15</v>
      </c>
      <c r="F8" s="236"/>
      <c r="G8" s="46"/>
    </row>
    <row r="9" spans="1:7" s="52" customFormat="1" ht="27" x14ac:dyDescent="0.3">
      <c r="A9" s="48" t="s">
        <v>94</v>
      </c>
      <c r="B9" s="49">
        <v>37</v>
      </c>
      <c r="C9" s="152" t="str">
        <f xml:space="preserve"> IF(B9="","",setValueToTime(B9))</f>
        <v>3h5min</v>
      </c>
      <c r="D9" s="165" t="s">
        <v>160</v>
      </c>
      <c r="E9" s="237"/>
      <c r="F9" s="238"/>
      <c r="G9" s="51"/>
    </row>
    <row r="10" spans="1:7" s="52" customFormat="1" ht="15" thickBot="1" x14ac:dyDescent="0.35">
      <c r="A10" s="53" t="s">
        <v>93</v>
      </c>
      <c r="B10" s="54">
        <v>1</v>
      </c>
      <c r="C10" s="155" t="str">
        <f t="shared" ref="C10" si="0" xml:space="preserve"> IF(B10="","",setValueToTime(B10))</f>
        <v>0h5min</v>
      </c>
      <c r="D10" s="166" t="s">
        <v>118</v>
      </c>
      <c r="E10" s="241"/>
      <c r="F10" s="242"/>
      <c r="G10" s="51"/>
    </row>
    <row r="11" spans="1:7" s="52" customFormat="1" ht="15" thickBot="1" x14ac:dyDescent="0.35">
      <c r="A11" s="111" t="s">
        <v>28</v>
      </c>
      <c r="B11" s="84">
        <f>SUM(B9:B10)</f>
        <v>38</v>
      </c>
      <c r="C11" s="111" t="str">
        <f xml:space="preserve"> setValueToTime(B11)</f>
        <v>3h10min</v>
      </c>
      <c r="D11" s="120"/>
      <c r="E11" s="239"/>
      <c r="F11" s="240"/>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5" t="s">
        <v>15</v>
      </c>
      <c r="F14" s="236"/>
      <c r="G14" s="46"/>
    </row>
    <row r="15" spans="1:7" s="52" customFormat="1" x14ac:dyDescent="0.3">
      <c r="A15" s="48" t="s">
        <v>115</v>
      </c>
      <c r="B15" s="49">
        <v>47</v>
      </c>
      <c r="C15" s="152" t="str">
        <f xml:space="preserve"> IF(B15="","",setValueToTime(B15))</f>
        <v>3h55min</v>
      </c>
      <c r="D15" s="165" t="s">
        <v>154</v>
      </c>
      <c r="E15" s="237"/>
      <c r="F15" s="238"/>
      <c r="G15" s="51"/>
    </row>
    <row r="16" spans="1:7" s="52" customFormat="1" ht="15" thickBot="1" x14ac:dyDescent="0.35">
      <c r="A16" s="53" t="s">
        <v>93</v>
      </c>
      <c r="B16" s="54">
        <v>1</v>
      </c>
      <c r="C16" s="155" t="str">
        <f t="shared" ref="C16" si="1" xml:space="preserve"> IF(B16="","",setValueToTime(B16))</f>
        <v>0h5min</v>
      </c>
      <c r="D16" s="166" t="s">
        <v>118</v>
      </c>
      <c r="E16" s="241"/>
      <c r="F16" s="242"/>
      <c r="G16" s="51"/>
    </row>
    <row r="17" spans="1:7" s="52" customFormat="1" ht="15" thickBot="1" x14ac:dyDescent="0.35">
      <c r="A17" s="111" t="s">
        <v>28</v>
      </c>
      <c r="B17" s="84">
        <f>SUM(B15:B16)</f>
        <v>48</v>
      </c>
      <c r="C17" s="111" t="str">
        <f xml:space="preserve"> setValueToTime(B17)</f>
        <v>4h</v>
      </c>
      <c r="D17" s="120"/>
      <c r="E17" s="239"/>
      <c r="F17" s="240"/>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5" t="s">
        <v>15</v>
      </c>
      <c r="F20" s="236"/>
      <c r="G20" s="46"/>
    </row>
    <row r="21" spans="1:7" s="52" customFormat="1" ht="27" x14ac:dyDescent="0.3">
      <c r="A21" s="48" t="s">
        <v>149</v>
      </c>
      <c r="B21" s="49">
        <v>37</v>
      </c>
      <c r="C21" s="152" t="str">
        <f xml:space="preserve"> IF(B21="","",setValueToTime(B21))</f>
        <v>3h5min</v>
      </c>
      <c r="D21" s="165" t="s">
        <v>152</v>
      </c>
      <c r="E21" s="237"/>
      <c r="F21" s="238"/>
      <c r="G21" s="51"/>
    </row>
    <row r="22" spans="1:7" s="52" customFormat="1" ht="15" thickBot="1" x14ac:dyDescent="0.35">
      <c r="A22" s="53" t="s">
        <v>93</v>
      </c>
      <c r="B22" s="54">
        <v>1</v>
      </c>
      <c r="C22" s="155" t="str">
        <f t="shared" ref="C22" si="2" xml:space="preserve"> IF(B22="","",setValueToTime(B22))</f>
        <v>0h5min</v>
      </c>
      <c r="D22" s="166" t="s">
        <v>118</v>
      </c>
      <c r="E22" s="241"/>
      <c r="F22" s="242"/>
      <c r="G22" s="51"/>
    </row>
    <row r="23" spans="1:7" s="52" customFormat="1" ht="15" thickBot="1" x14ac:dyDescent="0.35">
      <c r="A23" s="111" t="s">
        <v>28</v>
      </c>
      <c r="B23" s="84">
        <f>SUM(B21:B22)</f>
        <v>38</v>
      </c>
      <c r="C23" s="111" t="str">
        <f xml:space="preserve"> setValueToTime(B23)</f>
        <v>3h10min</v>
      </c>
      <c r="D23" s="120"/>
      <c r="E23" s="239"/>
      <c r="F23" s="240"/>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5" t="s">
        <v>15</v>
      </c>
      <c r="F26" s="236"/>
      <c r="G26" s="46"/>
    </row>
    <row r="27" spans="1:7" s="52" customFormat="1" x14ac:dyDescent="0.3">
      <c r="A27" s="53" t="s">
        <v>98</v>
      </c>
      <c r="B27" s="49">
        <v>47</v>
      </c>
      <c r="C27" s="152" t="str">
        <f xml:space="preserve"> IF(B27="","",setValueToTime(B27))</f>
        <v>3h55min</v>
      </c>
      <c r="D27" s="55" t="s">
        <v>153</v>
      </c>
      <c r="E27" s="237"/>
      <c r="F27" s="238"/>
      <c r="G27" s="51"/>
    </row>
    <row r="28" spans="1:7" s="52" customFormat="1" ht="15" thickBot="1" x14ac:dyDescent="0.35">
      <c r="A28" s="53" t="s">
        <v>93</v>
      </c>
      <c r="B28" s="54">
        <v>1</v>
      </c>
      <c r="C28" s="155" t="str">
        <f t="shared" ref="C28" si="3" xml:space="preserve"> IF(B28="","",setValueToTime(B28))</f>
        <v>0h5min</v>
      </c>
      <c r="D28" s="166" t="s">
        <v>118</v>
      </c>
      <c r="E28" s="241"/>
      <c r="F28" s="242"/>
      <c r="G28" s="51"/>
    </row>
    <row r="29" spans="1:7" s="52" customFormat="1" ht="15" thickBot="1" x14ac:dyDescent="0.35">
      <c r="A29" s="111" t="s">
        <v>28</v>
      </c>
      <c r="B29" s="84">
        <f>SUM(B27:B28)</f>
        <v>48</v>
      </c>
      <c r="C29" s="111" t="str">
        <f xml:space="preserve"> setValueToTime(B29)</f>
        <v>4h</v>
      </c>
      <c r="D29" s="120"/>
      <c r="E29" s="239"/>
      <c r="F29" s="240"/>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5" t="s">
        <v>15</v>
      </c>
      <c r="F32" s="236"/>
      <c r="G32" s="46"/>
    </row>
    <row r="33" spans="1:7" s="52" customFormat="1" ht="40.5" x14ac:dyDescent="0.3">
      <c r="A33" s="48" t="s">
        <v>106</v>
      </c>
      <c r="B33" s="49">
        <v>37</v>
      </c>
      <c r="C33" s="152" t="str">
        <f xml:space="preserve"> IF(B33="","",setValueToTime(B33))</f>
        <v>3h5min</v>
      </c>
      <c r="D33" s="165" t="s">
        <v>150</v>
      </c>
      <c r="E33" s="237"/>
      <c r="F33" s="238"/>
      <c r="G33" s="51"/>
    </row>
    <row r="34" spans="1:7" s="52" customFormat="1" ht="15" thickBot="1" x14ac:dyDescent="0.35">
      <c r="A34" s="53" t="s">
        <v>93</v>
      </c>
      <c r="B34" s="54">
        <v>1</v>
      </c>
      <c r="C34" s="155" t="str">
        <f t="shared" ref="C34" si="4" xml:space="preserve"> IF(B34="","",setValueToTime(B34))</f>
        <v>0h5min</v>
      </c>
      <c r="D34" s="166" t="s">
        <v>118</v>
      </c>
      <c r="E34" s="241"/>
      <c r="F34" s="242"/>
      <c r="G34" s="51"/>
    </row>
    <row r="35" spans="1:7" s="52" customFormat="1" ht="15" thickBot="1" x14ac:dyDescent="0.35">
      <c r="A35" s="111" t="s">
        <v>28</v>
      </c>
      <c r="B35" s="84">
        <f>SUM(B33:B34)</f>
        <v>38</v>
      </c>
      <c r="C35" s="111" t="str">
        <f xml:space="preserve"> setValueToTime(B35)</f>
        <v>3h10min</v>
      </c>
      <c r="D35" s="120"/>
      <c r="E35" s="239"/>
      <c r="F35" s="240"/>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5" t="s">
        <v>15</v>
      </c>
      <c r="F38" s="236"/>
      <c r="G38" s="46"/>
    </row>
    <row r="39" spans="1:7" s="52" customFormat="1" ht="40.5" x14ac:dyDescent="0.3">
      <c r="A39" s="48" t="s">
        <v>107</v>
      </c>
      <c r="B39" s="49">
        <v>20</v>
      </c>
      <c r="C39" s="152" t="str">
        <f xml:space="preserve"> IF(B39="","",setValueToTime(B39))</f>
        <v>1h40min</v>
      </c>
      <c r="D39" s="165" t="s">
        <v>151</v>
      </c>
      <c r="E39" s="237"/>
      <c r="F39" s="238"/>
      <c r="G39" s="51"/>
    </row>
    <row r="40" spans="1:7" s="52" customFormat="1" ht="27" x14ac:dyDescent="0.3">
      <c r="A40" s="53" t="s">
        <v>123</v>
      </c>
      <c r="B40" s="54">
        <v>17</v>
      </c>
      <c r="C40" s="153" t="str">
        <f t="shared" ref="C40:C41" si="5" xml:space="preserve"> IF(B40="","",setValueToTime(B40))</f>
        <v>1h25min</v>
      </c>
      <c r="D40" s="166" t="s">
        <v>148</v>
      </c>
      <c r="E40" s="243"/>
      <c r="F40" s="244"/>
      <c r="G40" s="51"/>
    </row>
    <row r="41" spans="1:7" s="52" customFormat="1" ht="15" thickBot="1" x14ac:dyDescent="0.35">
      <c r="A41" s="53" t="s">
        <v>93</v>
      </c>
      <c r="B41" s="54">
        <v>1</v>
      </c>
      <c r="C41" s="155" t="str">
        <f t="shared" si="5"/>
        <v>0h5min</v>
      </c>
      <c r="D41" s="166" t="s">
        <v>118</v>
      </c>
      <c r="E41" s="241"/>
      <c r="F41" s="242"/>
      <c r="G41" s="51"/>
    </row>
    <row r="42" spans="1:7" s="52" customFormat="1" ht="15" thickBot="1" x14ac:dyDescent="0.35">
      <c r="A42" s="111" t="s">
        <v>28</v>
      </c>
      <c r="B42" s="84">
        <f>SUM(B39:B41)</f>
        <v>38</v>
      </c>
      <c r="C42" s="111" t="str">
        <f xml:space="preserve"> setValueToTime(B42)</f>
        <v>3h10min</v>
      </c>
      <c r="D42" s="120"/>
      <c r="E42" s="239"/>
      <c r="F42" s="240"/>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5" t="s">
        <v>15</v>
      </c>
      <c r="F45" s="236"/>
      <c r="G45" s="46"/>
    </row>
    <row r="46" spans="1:7" s="52" customFormat="1" ht="27" x14ac:dyDescent="0.3">
      <c r="A46" s="48" t="s">
        <v>123</v>
      </c>
      <c r="B46" s="49">
        <v>37</v>
      </c>
      <c r="C46" s="152" t="str">
        <f xml:space="preserve"> IF(B46="","",setValueToTime(B46))</f>
        <v>3h5min</v>
      </c>
      <c r="D46" s="165" t="s">
        <v>147</v>
      </c>
      <c r="E46" s="237"/>
      <c r="F46" s="238"/>
      <c r="G46" s="51"/>
    </row>
    <row r="47" spans="1:7" s="52" customFormat="1" ht="15" thickBot="1" x14ac:dyDescent="0.35">
      <c r="A47" s="53" t="s">
        <v>93</v>
      </c>
      <c r="B47" s="54">
        <v>1</v>
      </c>
      <c r="C47" s="155" t="str">
        <f t="shared" ref="C47" si="6" xml:space="preserve"> IF(B47="","",setValueToTime(B47))</f>
        <v>0h5min</v>
      </c>
      <c r="D47" s="166" t="s">
        <v>118</v>
      </c>
      <c r="E47" s="241"/>
      <c r="F47" s="242"/>
      <c r="G47" s="51"/>
    </row>
    <row r="48" spans="1:7" s="52" customFormat="1" ht="15" thickBot="1" x14ac:dyDescent="0.35">
      <c r="A48" s="111" t="s">
        <v>28</v>
      </c>
      <c r="B48" s="84">
        <f>SUM(B46:B47)</f>
        <v>38</v>
      </c>
      <c r="C48" s="111" t="str">
        <f xml:space="preserve"> setValueToTime(B48)</f>
        <v>3h10min</v>
      </c>
      <c r="D48" s="120"/>
      <c r="E48" s="239"/>
      <c r="F48" s="240"/>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5" t="s">
        <v>15</v>
      </c>
      <c r="F51" s="236"/>
      <c r="G51" s="46"/>
    </row>
    <row r="52" spans="1:7" s="52" customFormat="1" ht="27" x14ac:dyDescent="0.3">
      <c r="A52" s="53" t="s">
        <v>98</v>
      </c>
      <c r="B52" s="54">
        <v>47</v>
      </c>
      <c r="C52" s="152" t="str">
        <f xml:space="preserve"> IF(B52="","",setValueToTime(B52))</f>
        <v>3h55min</v>
      </c>
      <c r="D52" s="166" t="s">
        <v>145</v>
      </c>
      <c r="E52" s="237"/>
      <c r="F52" s="238"/>
      <c r="G52" s="51"/>
    </row>
    <row r="53" spans="1:7" s="52" customFormat="1" ht="15" thickBot="1" x14ac:dyDescent="0.35">
      <c r="A53" s="53" t="s">
        <v>93</v>
      </c>
      <c r="B53" s="54">
        <v>1</v>
      </c>
      <c r="C53" s="155" t="str">
        <f t="shared" ref="C53" si="7" xml:space="preserve"> IF(B53="","",setValueToTime(B53))</f>
        <v>0h5min</v>
      </c>
      <c r="D53" s="166" t="s">
        <v>118</v>
      </c>
      <c r="E53" s="241"/>
      <c r="F53" s="242"/>
      <c r="G53" s="51"/>
    </row>
    <row r="54" spans="1:7" s="52" customFormat="1" ht="15" thickBot="1" x14ac:dyDescent="0.35">
      <c r="A54" s="111" t="s">
        <v>28</v>
      </c>
      <c r="B54" s="84">
        <f>SUM(B52:B53)</f>
        <v>48</v>
      </c>
      <c r="C54" s="111" t="str">
        <f xml:space="preserve"> setValueToTime(B54)</f>
        <v>4h</v>
      </c>
      <c r="D54" s="120"/>
      <c r="E54" s="239"/>
      <c r="F54" s="240"/>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5" t="s">
        <v>15</v>
      </c>
      <c r="F57" s="236"/>
      <c r="G57" s="46"/>
    </row>
    <row r="58" spans="1:7" s="52" customFormat="1" ht="40.5" x14ac:dyDescent="0.3">
      <c r="A58" s="48" t="s">
        <v>108</v>
      </c>
      <c r="B58" s="49">
        <v>37</v>
      </c>
      <c r="C58" s="152" t="str">
        <f xml:space="preserve"> IF(B58="","",setValueToTime(B58))</f>
        <v>3h5min</v>
      </c>
      <c r="D58" s="165" t="s">
        <v>146</v>
      </c>
      <c r="E58" s="237"/>
      <c r="F58" s="238"/>
      <c r="G58" s="51"/>
    </row>
    <row r="59" spans="1:7" s="52" customFormat="1" ht="15" thickBot="1" x14ac:dyDescent="0.35">
      <c r="A59" s="53" t="s">
        <v>93</v>
      </c>
      <c r="B59" s="54">
        <v>1</v>
      </c>
      <c r="C59" s="155" t="str">
        <f t="shared" ref="C59" si="8" xml:space="preserve"> IF(B59="","",setValueToTime(B59))</f>
        <v>0h5min</v>
      </c>
      <c r="D59" s="166" t="s">
        <v>118</v>
      </c>
      <c r="E59" s="241"/>
      <c r="F59" s="242"/>
      <c r="G59" s="51"/>
    </row>
    <row r="60" spans="1:7" s="52" customFormat="1" ht="15" thickBot="1" x14ac:dyDescent="0.35">
      <c r="A60" s="111" t="s">
        <v>28</v>
      </c>
      <c r="B60" s="84">
        <f>SUM(B58:B59)</f>
        <v>38</v>
      </c>
      <c r="C60" s="111" t="str">
        <f xml:space="preserve"> setValueToTime(B60)</f>
        <v>3h10min</v>
      </c>
      <c r="D60" s="120"/>
      <c r="E60" s="239"/>
      <c r="F60" s="240"/>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5" t="s">
        <v>15</v>
      </c>
      <c r="F63" s="236"/>
      <c r="G63" s="46"/>
    </row>
    <row r="64" spans="1:7" s="52" customFormat="1" x14ac:dyDescent="0.3">
      <c r="A64" s="53" t="s">
        <v>98</v>
      </c>
      <c r="B64" s="54">
        <v>17</v>
      </c>
      <c r="C64" s="152" t="str">
        <f xml:space="preserve"> IF(B64="","",setValueToTime(B64))</f>
        <v>1h25min</v>
      </c>
      <c r="D64" s="166" t="s">
        <v>156</v>
      </c>
      <c r="E64" s="237"/>
      <c r="F64" s="238"/>
      <c r="G64" s="51"/>
    </row>
    <row r="65" spans="1:7" s="52" customFormat="1" ht="40.5" x14ac:dyDescent="0.3">
      <c r="A65" s="53" t="s">
        <v>108</v>
      </c>
      <c r="B65" s="54">
        <v>30</v>
      </c>
      <c r="C65" s="153" t="str">
        <f t="shared" ref="C65:C66" si="9" xml:space="preserve"> IF(B65="","",setValueToTime(B65))</f>
        <v>2h30min</v>
      </c>
      <c r="D65" s="55" t="s">
        <v>144</v>
      </c>
      <c r="E65" s="243"/>
      <c r="F65" s="244"/>
      <c r="G65" s="51"/>
    </row>
    <row r="66" spans="1:7" s="52" customFormat="1" ht="15" thickBot="1" x14ac:dyDescent="0.35">
      <c r="A66" s="53" t="s">
        <v>93</v>
      </c>
      <c r="B66" s="54">
        <v>1</v>
      </c>
      <c r="C66" s="155" t="str">
        <f t="shared" si="9"/>
        <v>0h5min</v>
      </c>
      <c r="D66" s="166" t="s">
        <v>118</v>
      </c>
      <c r="E66" s="241"/>
      <c r="F66" s="242"/>
      <c r="G66" s="51"/>
    </row>
    <row r="67" spans="1:7" s="52" customFormat="1" ht="15" thickBot="1" x14ac:dyDescent="0.35">
      <c r="A67" s="111" t="s">
        <v>28</v>
      </c>
      <c r="B67" s="84">
        <f>SUM(B64:B66)</f>
        <v>48</v>
      </c>
      <c r="C67" s="111" t="str">
        <f xml:space="preserve"> setValueToTime(B67)</f>
        <v>4h</v>
      </c>
      <c r="D67" s="120"/>
      <c r="E67" s="239"/>
      <c r="F67" s="240"/>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5" t="s">
        <v>15</v>
      </c>
      <c r="F70" s="236"/>
      <c r="G70" s="46"/>
    </row>
    <row r="71" spans="1:7" s="52" customFormat="1" ht="27" x14ac:dyDescent="0.3">
      <c r="A71" s="48" t="s">
        <v>122</v>
      </c>
      <c r="B71" s="49">
        <v>15</v>
      </c>
      <c r="C71" s="153" t="str">
        <f t="shared" ref="C71:C73" si="10" xml:space="preserve"> IF(B71="","",setValueToTime(B71))</f>
        <v>1h15min</v>
      </c>
      <c r="D71" s="165" t="s">
        <v>143</v>
      </c>
      <c r="E71" s="237"/>
      <c r="F71" s="238"/>
      <c r="G71" s="51"/>
    </row>
    <row r="72" spans="1:7" s="52" customFormat="1" ht="40.5" x14ac:dyDescent="0.3">
      <c r="A72" s="53" t="s">
        <v>142</v>
      </c>
      <c r="B72" s="54">
        <v>22</v>
      </c>
      <c r="C72" s="153" t="str">
        <f t="shared" si="10"/>
        <v>1h50min</v>
      </c>
      <c r="D72" s="166" t="s">
        <v>155</v>
      </c>
      <c r="E72" s="243"/>
      <c r="F72" s="244"/>
      <c r="G72" s="51"/>
    </row>
    <row r="73" spans="1:7" s="52" customFormat="1" ht="15" thickBot="1" x14ac:dyDescent="0.35">
      <c r="A73" s="53" t="s">
        <v>93</v>
      </c>
      <c r="B73" s="54">
        <v>1</v>
      </c>
      <c r="C73" s="155" t="str">
        <f t="shared" si="10"/>
        <v>0h5min</v>
      </c>
      <c r="D73" s="166" t="s">
        <v>118</v>
      </c>
      <c r="E73" s="241"/>
      <c r="F73" s="242"/>
      <c r="G73" s="51"/>
    </row>
    <row r="74" spans="1:7" s="52" customFormat="1" ht="15" thickBot="1" x14ac:dyDescent="0.35">
      <c r="A74" s="111" t="s">
        <v>28</v>
      </c>
      <c r="B74" s="84">
        <f>SUM(B71:B73)</f>
        <v>38</v>
      </c>
      <c r="C74" s="111" t="str">
        <f xml:space="preserve"> setValueToTime(B74)</f>
        <v>3h10min</v>
      </c>
      <c r="D74" s="120"/>
      <c r="E74" s="239"/>
      <c r="F74" s="240"/>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5" t="s">
        <v>15</v>
      </c>
      <c r="F77" s="236"/>
      <c r="G77" s="46"/>
    </row>
    <row r="78" spans="1:7" s="52" customFormat="1" ht="27" x14ac:dyDescent="0.3">
      <c r="A78" s="48" t="s">
        <v>95</v>
      </c>
      <c r="B78" s="49">
        <v>6</v>
      </c>
      <c r="C78" s="152" t="str">
        <f xml:space="preserve"> IF(B78="","",setValueToTime(B78))</f>
        <v>0h30min</v>
      </c>
      <c r="D78" s="165" t="s">
        <v>139</v>
      </c>
      <c r="E78" s="237"/>
      <c r="F78" s="238"/>
      <c r="G78" s="51"/>
    </row>
    <row r="79" spans="1:7" s="52" customFormat="1" ht="27" x14ac:dyDescent="0.3">
      <c r="A79" s="53" t="s">
        <v>112</v>
      </c>
      <c r="B79" s="54">
        <v>31</v>
      </c>
      <c r="C79" s="153" t="str">
        <f t="shared" ref="C79:C80" si="11" xml:space="preserve"> IF(B79="","",setValueToTime(B79))</f>
        <v>2h35min</v>
      </c>
      <c r="D79" s="166" t="s">
        <v>140</v>
      </c>
      <c r="E79" s="243"/>
      <c r="F79" s="244"/>
      <c r="G79" s="51"/>
    </row>
    <row r="80" spans="1:7" s="52" customFormat="1" ht="15" thickBot="1" x14ac:dyDescent="0.35">
      <c r="A80" s="53" t="s">
        <v>93</v>
      </c>
      <c r="B80" s="54">
        <v>1</v>
      </c>
      <c r="C80" s="155" t="str">
        <f t="shared" si="11"/>
        <v>0h5min</v>
      </c>
      <c r="D80" s="166" t="s">
        <v>118</v>
      </c>
      <c r="E80" s="241"/>
      <c r="F80" s="242"/>
      <c r="G80" s="51"/>
    </row>
    <row r="81" spans="1:7" s="52" customFormat="1" ht="15" thickBot="1" x14ac:dyDescent="0.35">
      <c r="A81" s="111" t="s">
        <v>28</v>
      </c>
      <c r="B81" s="84">
        <f>SUM(B78:B80)</f>
        <v>38</v>
      </c>
      <c r="C81" s="111" t="str">
        <f xml:space="preserve"> setValueToTime(B81)</f>
        <v>3h10min</v>
      </c>
      <c r="D81" s="120"/>
      <c r="E81" s="239"/>
      <c r="F81" s="240"/>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5" t="s">
        <v>15</v>
      </c>
      <c r="F84" s="236"/>
      <c r="G84" s="46"/>
    </row>
    <row r="85" spans="1:7" s="52" customFormat="1" ht="27" x14ac:dyDescent="0.3">
      <c r="A85" s="48" t="s">
        <v>96</v>
      </c>
      <c r="B85" s="49">
        <v>30</v>
      </c>
      <c r="C85" s="152" t="str">
        <f xml:space="preserve"> IF(B85="","",setValueToTime(B85))</f>
        <v>2h30min</v>
      </c>
      <c r="D85" s="165" t="s">
        <v>138</v>
      </c>
      <c r="E85" s="237"/>
      <c r="F85" s="238"/>
      <c r="G85" s="51"/>
    </row>
    <row r="86" spans="1:7" s="52" customFormat="1" x14ac:dyDescent="0.3">
      <c r="A86" s="53" t="s">
        <v>110</v>
      </c>
      <c r="B86" s="54">
        <v>17</v>
      </c>
      <c r="C86" s="153" t="str">
        <f t="shared" ref="C86:C87" si="12" xml:space="preserve"> IF(B86="","",setValueToTime(B86))</f>
        <v>1h25min</v>
      </c>
      <c r="D86" s="166" t="s">
        <v>141</v>
      </c>
      <c r="E86" s="243"/>
      <c r="F86" s="244"/>
      <c r="G86" s="51"/>
    </row>
    <row r="87" spans="1:7" s="52" customFormat="1" ht="15" thickBot="1" x14ac:dyDescent="0.35">
      <c r="A87" s="53" t="s">
        <v>93</v>
      </c>
      <c r="B87" s="54">
        <v>1</v>
      </c>
      <c r="C87" s="155" t="str">
        <f t="shared" si="12"/>
        <v>0h5min</v>
      </c>
      <c r="D87" s="166" t="s">
        <v>118</v>
      </c>
      <c r="E87" s="241"/>
      <c r="F87" s="242"/>
      <c r="G87" s="51"/>
    </row>
    <row r="88" spans="1:7" s="52" customFormat="1" ht="15" thickBot="1" x14ac:dyDescent="0.35">
      <c r="A88" s="111" t="s">
        <v>28</v>
      </c>
      <c r="B88" s="84">
        <f>SUM(B85:B87)</f>
        <v>48</v>
      </c>
      <c r="C88" s="111" t="str">
        <f xml:space="preserve"> setValueToTime(B88)</f>
        <v>4h</v>
      </c>
      <c r="D88" s="120"/>
      <c r="E88" s="239"/>
      <c r="F88" s="240"/>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5" t="s">
        <v>15</v>
      </c>
      <c r="F91" s="236"/>
      <c r="G91" s="46"/>
    </row>
    <row r="92" spans="1:7" s="52" customFormat="1" ht="27" x14ac:dyDescent="0.3">
      <c r="A92" s="48" t="s">
        <v>104</v>
      </c>
      <c r="B92" s="49">
        <v>37</v>
      </c>
      <c r="C92" s="152" t="str">
        <f xml:space="preserve"> IF(B92="","",setValueToTime(B92))</f>
        <v>3h5min</v>
      </c>
      <c r="D92" s="165" t="s">
        <v>137</v>
      </c>
      <c r="E92" s="237"/>
      <c r="F92" s="238"/>
      <c r="G92" s="51"/>
    </row>
    <row r="93" spans="1:7" s="52" customFormat="1" ht="15" thickBot="1" x14ac:dyDescent="0.35">
      <c r="A93" s="53" t="s">
        <v>93</v>
      </c>
      <c r="B93" s="54">
        <v>1</v>
      </c>
      <c r="C93" s="155" t="str">
        <f t="shared" ref="C93" si="13" xml:space="preserve"> IF(B93="","",setValueToTime(B93))</f>
        <v>0h5min</v>
      </c>
      <c r="D93" s="166" t="s">
        <v>118</v>
      </c>
      <c r="E93" s="241"/>
      <c r="F93" s="242"/>
      <c r="G93" s="51"/>
    </row>
    <row r="94" spans="1:7" s="52" customFormat="1" ht="15" thickBot="1" x14ac:dyDescent="0.35">
      <c r="A94" s="111" t="s">
        <v>28</v>
      </c>
      <c r="B94" s="84">
        <f>SUM(B92:B93)</f>
        <v>38</v>
      </c>
      <c r="C94" s="111" t="str">
        <f xml:space="preserve"> setValueToTime(B94)</f>
        <v>3h10min</v>
      </c>
      <c r="D94" s="120"/>
      <c r="E94" s="239"/>
      <c r="F94" s="240"/>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5" t="s">
        <v>15</v>
      </c>
      <c r="F97" s="236"/>
      <c r="G97" s="46"/>
    </row>
    <row r="98" spans="1:7" s="52" customFormat="1" ht="27" x14ac:dyDescent="0.3">
      <c r="A98" s="48" t="s">
        <v>111</v>
      </c>
      <c r="B98" s="49">
        <v>2</v>
      </c>
      <c r="C98" s="152" t="str">
        <f xml:space="preserve"> IF(B98="","",setValueToTime(B98))</f>
        <v>0h10min</v>
      </c>
      <c r="D98" s="165" t="s">
        <v>136</v>
      </c>
      <c r="E98" s="237"/>
      <c r="F98" s="238"/>
      <c r="G98" s="51"/>
    </row>
    <row r="99" spans="1:7" s="52" customFormat="1" ht="27" x14ac:dyDescent="0.3">
      <c r="A99" s="53" t="s">
        <v>105</v>
      </c>
      <c r="B99" s="54">
        <v>26</v>
      </c>
      <c r="C99" s="153" t="str">
        <f t="shared" ref="C99:C101" si="14" xml:space="preserve"> IF(B99="","",setValueToTime(B99))</f>
        <v>2h10min</v>
      </c>
      <c r="D99" s="166" t="s">
        <v>135</v>
      </c>
      <c r="E99" s="243"/>
      <c r="F99" s="244"/>
      <c r="G99" s="51"/>
    </row>
    <row r="100" spans="1:7" s="52" customFormat="1" ht="40.5" x14ac:dyDescent="0.3">
      <c r="A100" s="53" t="s">
        <v>113</v>
      </c>
      <c r="B100" s="54">
        <v>9</v>
      </c>
      <c r="C100" s="153" t="str">
        <f t="shared" si="14"/>
        <v>0h45min</v>
      </c>
      <c r="D100" s="166" t="s">
        <v>159</v>
      </c>
      <c r="E100" s="243"/>
      <c r="F100" s="244"/>
      <c r="G100" s="51"/>
    </row>
    <row r="101" spans="1:7" s="52" customFormat="1" ht="15" thickBot="1" x14ac:dyDescent="0.35">
      <c r="A101" s="53" t="s">
        <v>93</v>
      </c>
      <c r="B101" s="54">
        <v>1</v>
      </c>
      <c r="C101" s="155" t="str">
        <f t="shared" si="14"/>
        <v>0h5min</v>
      </c>
      <c r="D101" s="166" t="s">
        <v>118</v>
      </c>
      <c r="E101" s="241"/>
      <c r="F101" s="242"/>
      <c r="G101" s="51"/>
    </row>
    <row r="102" spans="1:7" s="52" customFormat="1" ht="15" thickBot="1" x14ac:dyDescent="0.35">
      <c r="A102" s="111" t="s">
        <v>28</v>
      </c>
      <c r="B102" s="84">
        <f>SUM(B98:B101)</f>
        <v>38</v>
      </c>
      <c r="C102" s="111" t="str">
        <f xml:space="preserve"> setValueToTime(B102)</f>
        <v>3h10min</v>
      </c>
      <c r="D102" s="120"/>
      <c r="E102" s="239"/>
      <c r="F102" s="240"/>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5" t="s">
        <v>15</v>
      </c>
      <c r="F105" s="236"/>
      <c r="G105" s="46"/>
    </row>
    <row r="106" spans="1:7" s="52" customFormat="1" ht="27" x14ac:dyDescent="0.3">
      <c r="A106" s="48" t="s">
        <v>114</v>
      </c>
      <c r="B106" s="49">
        <v>37</v>
      </c>
      <c r="C106" s="152" t="str">
        <f xml:space="preserve"> IF(B106="","",setValueToTime(B106))</f>
        <v>3h5min</v>
      </c>
      <c r="D106" s="165" t="s">
        <v>134</v>
      </c>
      <c r="E106" s="237"/>
      <c r="F106" s="238"/>
      <c r="G106" s="51"/>
    </row>
    <row r="107" spans="1:7" s="52" customFormat="1" ht="15" thickBot="1" x14ac:dyDescent="0.35">
      <c r="A107" s="53" t="s">
        <v>93</v>
      </c>
      <c r="B107" s="54">
        <v>1</v>
      </c>
      <c r="C107" s="155" t="str">
        <f t="shared" ref="C107" si="15" xml:space="preserve"> IF(B107="","",setValueToTime(B107))</f>
        <v>0h5min</v>
      </c>
      <c r="D107" s="166" t="s">
        <v>118</v>
      </c>
      <c r="E107" s="241"/>
      <c r="F107" s="242"/>
      <c r="G107" s="51"/>
    </row>
    <row r="108" spans="1:7" s="52" customFormat="1" ht="15" thickBot="1" x14ac:dyDescent="0.35">
      <c r="A108" s="111" t="s">
        <v>28</v>
      </c>
      <c r="B108" s="84">
        <f>SUM(B106:B107)</f>
        <v>38</v>
      </c>
      <c r="C108" s="111" t="str">
        <f xml:space="preserve"> setValueToTime(B108)</f>
        <v>3h10min</v>
      </c>
      <c r="D108" s="120"/>
      <c r="E108" s="239"/>
      <c r="F108" s="240"/>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5" t="s">
        <v>15</v>
      </c>
      <c r="F111" s="236"/>
      <c r="G111" s="46"/>
    </row>
    <row r="112" spans="1:7" s="52" customFormat="1" ht="15" thickBot="1" x14ac:dyDescent="0.35">
      <c r="A112" s="48" t="s">
        <v>4</v>
      </c>
      <c r="B112" s="49">
        <v>38</v>
      </c>
      <c r="C112" s="152" t="str">
        <f xml:space="preserve"> IF(B112="","",setValueToTime(B112))</f>
        <v>3h10min</v>
      </c>
      <c r="D112" s="165" t="s">
        <v>119</v>
      </c>
      <c r="E112" s="237"/>
      <c r="F112" s="238"/>
      <c r="G112" s="51"/>
    </row>
    <row r="113" spans="1:7" s="52" customFormat="1" ht="15" thickBot="1" x14ac:dyDescent="0.35">
      <c r="A113" s="111" t="s">
        <v>28</v>
      </c>
      <c r="B113" s="84">
        <f>SUM(B112:B112)</f>
        <v>38</v>
      </c>
      <c r="C113" s="111" t="str">
        <f xml:space="preserve"> setValueToTime(B113)</f>
        <v>3h10min</v>
      </c>
      <c r="D113" s="120"/>
      <c r="E113" s="239"/>
      <c r="F113" s="240"/>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5" t="s">
        <v>15</v>
      </c>
      <c r="F116" s="236"/>
      <c r="G116" s="46"/>
    </row>
    <row r="117" spans="1:7" s="52" customFormat="1" ht="15" thickBot="1" x14ac:dyDescent="0.35">
      <c r="A117" s="48" t="s">
        <v>4</v>
      </c>
      <c r="B117" s="49">
        <v>48</v>
      </c>
      <c r="C117" s="152" t="str">
        <f xml:space="preserve"> IF(B117="","",setValueToTime(B117))</f>
        <v>4h</v>
      </c>
      <c r="D117" s="165" t="s">
        <v>119</v>
      </c>
      <c r="E117" s="237"/>
      <c r="F117" s="238"/>
      <c r="G117" s="51"/>
    </row>
    <row r="118" spans="1:7" s="52" customFormat="1" ht="15" thickBot="1" x14ac:dyDescent="0.35">
      <c r="A118" s="111" t="s">
        <v>28</v>
      </c>
      <c r="B118" s="84">
        <f>SUM(B117:B117)</f>
        <v>48</v>
      </c>
      <c r="C118" s="111" t="str">
        <f xml:space="preserve"> setValueToTime(B118)</f>
        <v>4h</v>
      </c>
      <c r="D118" s="120"/>
      <c r="E118" s="239"/>
      <c r="F118" s="240"/>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5" t="s">
        <v>15</v>
      </c>
      <c r="F121" s="236"/>
      <c r="G121" s="46"/>
    </row>
    <row r="122" spans="1:7" s="52" customFormat="1" ht="40.5" x14ac:dyDescent="0.3">
      <c r="A122" s="48" t="s">
        <v>116</v>
      </c>
      <c r="B122" s="49">
        <v>37</v>
      </c>
      <c r="C122" s="152" t="str">
        <f xml:space="preserve"> IF(B122="","",setValueToTime(B122))</f>
        <v>3h5min</v>
      </c>
      <c r="D122" s="165" t="s">
        <v>132</v>
      </c>
      <c r="E122" s="245" t="s">
        <v>131</v>
      </c>
      <c r="F122" s="238"/>
      <c r="G122" s="51"/>
    </row>
    <row r="123" spans="1:7" s="52" customFormat="1" ht="15" thickBot="1" x14ac:dyDescent="0.35">
      <c r="A123" s="53" t="s">
        <v>93</v>
      </c>
      <c r="B123" s="54">
        <v>1</v>
      </c>
      <c r="C123" s="155" t="str">
        <f t="shared" ref="C123" si="16" xml:space="preserve"> IF(B123="","",setValueToTime(B123))</f>
        <v>0h5min</v>
      </c>
      <c r="D123" s="166" t="s">
        <v>118</v>
      </c>
      <c r="E123" s="241"/>
      <c r="F123" s="242"/>
      <c r="G123" s="51"/>
    </row>
    <row r="124" spans="1:7" s="52" customFormat="1" ht="15" thickBot="1" x14ac:dyDescent="0.35">
      <c r="A124" s="111" t="s">
        <v>28</v>
      </c>
      <c r="B124" s="84">
        <f>SUM(B122:B123)</f>
        <v>38</v>
      </c>
      <c r="C124" s="111" t="str">
        <f xml:space="preserve"> setValueToTime(B124)</f>
        <v>3h10min</v>
      </c>
      <c r="D124" s="120"/>
      <c r="E124" s="239"/>
      <c r="F124" s="240"/>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5" t="s">
        <v>15</v>
      </c>
      <c r="F127" s="236"/>
      <c r="G127" s="46"/>
    </row>
    <row r="128" spans="1:7" s="52" customFormat="1" ht="27" x14ac:dyDescent="0.3">
      <c r="A128" s="48" t="s">
        <v>117</v>
      </c>
      <c r="B128" s="49">
        <v>47</v>
      </c>
      <c r="C128" s="152" t="str">
        <f xml:space="preserve"> IF(B128="","",setValueToTime(B128))</f>
        <v>3h55min</v>
      </c>
      <c r="D128" s="165" t="s">
        <v>130</v>
      </c>
      <c r="E128" s="237"/>
      <c r="F128" s="238"/>
      <c r="G128" s="51"/>
    </row>
    <row r="129" spans="1:7" s="52" customFormat="1" ht="15" thickBot="1" x14ac:dyDescent="0.35">
      <c r="A129" s="53" t="s">
        <v>93</v>
      </c>
      <c r="B129" s="54">
        <v>1</v>
      </c>
      <c r="C129" s="155" t="str">
        <f t="shared" ref="C129" si="17" xml:space="preserve"> IF(B129="","",setValueToTime(B129))</f>
        <v>0h5min</v>
      </c>
      <c r="D129" s="166" t="s">
        <v>118</v>
      </c>
      <c r="E129" s="241"/>
      <c r="F129" s="242"/>
      <c r="G129" s="51"/>
    </row>
    <row r="130" spans="1:7" s="52" customFormat="1" ht="15" thickBot="1" x14ac:dyDescent="0.35">
      <c r="A130" s="111" t="s">
        <v>28</v>
      </c>
      <c r="B130" s="84">
        <f>SUM(B128:B129)</f>
        <v>48</v>
      </c>
      <c r="C130" s="111" t="str">
        <f xml:space="preserve"> setValueToTime(B130)</f>
        <v>4h</v>
      </c>
      <c r="D130" s="120"/>
      <c r="E130" s="239"/>
      <c r="F130" s="240"/>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5" t="s">
        <v>15</v>
      </c>
      <c r="F133" s="236"/>
      <c r="G133" s="46"/>
    </row>
    <row r="134" spans="1:7" s="52" customFormat="1" ht="27" x14ac:dyDescent="0.3">
      <c r="A134" s="48" t="s">
        <v>101</v>
      </c>
      <c r="B134" s="49">
        <v>37</v>
      </c>
      <c r="C134" s="152" t="str">
        <f xml:space="preserve"> IF(B134="","",setValueToTime(B134))</f>
        <v>3h5min</v>
      </c>
      <c r="D134" s="165" t="s">
        <v>128</v>
      </c>
      <c r="E134" s="237"/>
      <c r="F134" s="238"/>
      <c r="G134" s="51"/>
    </row>
    <row r="135" spans="1:7" s="52" customFormat="1" ht="15" thickBot="1" x14ac:dyDescent="0.35">
      <c r="A135" s="53" t="s">
        <v>93</v>
      </c>
      <c r="B135" s="54">
        <v>1</v>
      </c>
      <c r="C135" s="155" t="str">
        <f t="shared" ref="C135" si="18" xml:space="preserve"> IF(B135="","",setValueToTime(B135))</f>
        <v>0h5min</v>
      </c>
      <c r="D135" s="166" t="s">
        <v>118</v>
      </c>
      <c r="E135" s="241"/>
      <c r="F135" s="242"/>
      <c r="G135" s="51"/>
    </row>
    <row r="136" spans="1:7" s="52" customFormat="1" ht="15" thickBot="1" x14ac:dyDescent="0.35">
      <c r="A136" s="111" t="s">
        <v>28</v>
      </c>
      <c r="B136" s="84">
        <f>SUM(B134:B135)</f>
        <v>38</v>
      </c>
      <c r="C136" s="111" t="str">
        <f xml:space="preserve"> setValueToTime(B136)</f>
        <v>3h10min</v>
      </c>
      <c r="D136" s="120"/>
      <c r="E136" s="239"/>
      <c r="F136" s="240"/>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5" t="s">
        <v>15</v>
      </c>
      <c r="F139" s="236"/>
      <c r="G139" s="46"/>
    </row>
    <row r="140" spans="1:7" s="52" customFormat="1" ht="27" x14ac:dyDescent="0.3">
      <c r="A140" s="48" t="s">
        <v>101</v>
      </c>
      <c r="B140" s="49">
        <v>37</v>
      </c>
      <c r="C140" s="152" t="str">
        <f xml:space="preserve"> IF(B140="","",setValueToTime(B140))</f>
        <v>3h5min</v>
      </c>
      <c r="D140" s="165" t="s">
        <v>129</v>
      </c>
      <c r="E140" s="237"/>
      <c r="F140" s="238"/>
      <c r="G140" s="51"/>
    </row>
    <row r="141" spans="1:7" s="52" customFormat="1" ht="15" thickBot="1" x14ac:dyDescent="0.35">
      <c r="A141" s="53" t="s">
        <v>93</v>
      </c>
      <c r="B141" s="54">
        <v>1</v>
      </c>
      <c r="C141" s="155" t="str">
        <f t="shared" ref="C141" si="19" xml:space="preserve"> IF(B141="","",setValueToTime(B141))</f>
        <v>0h5min</v>
      </c>
      <c r="D141" s="166" t="s">
        <v>118</v>
      </c>
      <c r="E141" s="241"/>
      <c r="F141" s="242"/>
      <c r="G141" s="51"/>
    </row>
    <row r="142" spans="1:7" s="52" customFormat="1" ht="15" thickBot="1" x14ac:dyDescent="0.35">
      <c r="A142" s="111" t="s">
        <v>28</v>
      </c>
      <c r="B142" s="84">
        <f>SUM(B140:B141)</f>
        <v>38</v>
      </c>
      <c r="C142" s="111" t="str">
        <f xml:space="preserve"> setValueToTime(B142)</f>
        <v>3h10min</v>
      </c>
      <c r="D142" s="120"/>
      <c r="E142" s="239"/>
      <c r="F142" s="240"/>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5" t="s">
        <v>15</v>
      </c>
      <c r="F145" s="236"/>
      <c r="G145" s="46"/>
    </row>
    <row r="146" spans="1:7" s="52" customFormat="1" ht="54" x14ac:dyDescent="0.3">
      <c r="A146" s="48" t="s">
        <v>102</v>
      </c>
      <c r="B146" s="49">
        <v>37</v>
      </c>
      <c r="C146" s="152" t="str">
        <f xml:space="preserve"> IF(B146="","",setValueToTime(B146))</f>
        <v>3h5min</v>
      </c>
      <c r="D146" s="165" t="s">
        <v>127</v>
      </c>
      <c r="E146" s="237"/>
      <c r="F146" s="238"/>
      <c r="G146" s="51"/>
    </row>
    <row r="147" spans="1:7" s="52" customFormat="1" ht="15" thickBot="1" x14ac:dyDescent="0.35">
      <c r="A147" s="53" t="s">
        <v>93</v>
      </c>
      <c r="B147" s="54">
        <v>1</v>
      </c>
      <c r="C147" s="155" t="str">
        <f t="shared" ref="C147" si="20" xml:space="preserve"> IF(B147="","",setValueToTime(B147))</f>
        <v>0h5min</v>
      </c>
      <c r="D147" s="166" t="s">
        <v>118</v>
      </c>
      <c r="E147" s="241"/>
      <c r="F147" s="242"/>
      <c r="G147" s="51"/>
    </row>
    <row r="148" spans="1:7" s="52" customFormat="1" ht="15" thickBot="1" x14ac:dyDescent="0.35">
      <c r="A148" s="111" t="s">
        <v>28</v>
      </c>
      <c r="B148" s="84">
        <f>SUM(B146:B147)</f>
        <v>38</v>
      </c>
      <c r="C148" s="111" t="str">
        <f xml:space="preserve"> setValueToTime(B148)</f>
        <v>3h10min</v>
      </c>
      <c r="D148" s="120"/>
      <c r="E148" s="239"/>
      <c r="F148" s="240"/>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5" t="s">
        <v>15</v>
      </c>
      <c r="F151" s="236"/>
      <c r="G151" s="46"/>
    </row>
    <row r="152" spans="1:7" s="52" customFormat="1" ht="27" x14ac:dyDescent="0.3">
      <c r="A152" s="48" t="s">
        <v>103</v>
      </c>
      <c r="B152" s="49">
        <v>6</v>
      </c>
      <c r="C152" s="152" t="str">
        <f xml:space="preserve"> IF(B152="","",setValueToTime(B152))</f>
        <v>0h30min</v>
      </c>
      <c r="D152" s="165" t="s">
        <v>125</v>
      </c>
      <c r="E152" s="237"/>
      <c r="F152" s="238"/>
      <c r="G152" s="51"/>
    </row>
    <row r="153" spans="1:7" s="52" customFormat="1" ht="27" x14ac:dyDescent="0.3">
      <c r="A153" s="53" t="s">
        <v>111</v>
      </c>
      <c r="B153" s="54">
        <v>4</v>
      </c>
      <c r="C153" s="153" t="str">
        <f t="shared" ref="C153:C155" si="21" xml:space="preserve"> IF(B153="","",setValueToTime(B153))</f>
        <v>0h20min</v>
      </c>
      <c r="D153" s="166" t="s">
        <v>158</v>
      </c>
      <c r="E153" s="243"/>
      <c r="F153" s="244"/>
      <c r="G153" s="51"/>
    </row>
    <row r="154" spans="1:7" s="52" customFormat="1" ht="27" x14ac:dyDescent="0.3">
      <c r="A154" s="53" t="s">
        <v>100</v>
      </c>
      <c r="B154" s="54">
        <v>27</v>
      </c>
      <c r="C154" s="153" t="str">
        <f t="shared" si="21"/>
        <v>2h15min</v>
      </c>
      <c r="D154" s="166" t="s">
        <v>126</v>
      </c>
      <c r="E154" s="243"/>
      <c r="F154" s="244"/>
      <c r="G154" s="51"/>
    </row>
    <row r="155" spans="1:7" s="52" customFormat="1" ht="15" thickBot="1" x14ac:dyDescent="0.35">
      <c r="A155" s="53" t="s">
        <v>93</v>
      </c>
      <c r="B155" s="54">
        <v>1</v>
      </c>
      <c r="C155" s="155" t="str">
        <f t="shared" si="21"/>
        <v>0h5min</v>
      </c>
      <c r="D155" s="166" t="s">
        <v>118</v>
      </c>
      <c r="E155" s="241"/>
      <c r="F155" s="242"/>
      <c r="G155" s="51"/>
    </row>
    <row r="156" spans="1:7" s="52" customFormat="1" ht="15" thickBot="1" x14ac:dyDescent="0.35">
      <c r="A156" s="111" t="s">
        <v>28</v>
      </c>
      <c r="B156" s="84">
        <f>SUM(B152:B155)</f>
        <v>38</v>
      </c>
      <c r="C156" s="111" t="str">
        <f xml:space="preserve"> setValueToTime(B156)</f>
        <v>3h10min</v>
      </c>
      <c r="D156" s="120"/>
      <c r="E156" s="239"/>
      <c r="F156" s="240"/>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5" t="s">
        <v>15</v>
      </c>
      <c r="F159" s="236"/>
      <c r="G159" s="46"/>
    </row>
    <row r="160" spans="1:7" s="52" customFormat="1" x14ac:dyDescent="0.3">
      <c r="A160" s="48" t="s">
        <v>97</v>
      </c>
      <c r="B160" s="49">
        <v>47</v>
      </c>
      <c r="C160" s="152" t="str">
        <f xml:space="preserve"> IF(B160="","",setValueToTime(B160))</f>
        <v>3h55min</v>
      </c>
      <c r="D160" s="165" t="s">
        <v>120</v>
      </c>
      <c r="E160" s="237"/>
      <c r="F160" s="238"/>
      <c r="G160" s="51"/>
    </row>
    <row r="161" spans="1:7" s="52" customFormat="1" ht="15" thickBot="1" x14ac:dyDescent="0.35">
      <c r="A161" s="53" t="s">
        <v>93</v>
      </c>
      <c r="B161" s="54">
        <v>1</v>
      </c>
      <c r="C161" s="153" t="str">
        <f t="shared" ref="C161" si="22" xml:space="preserve"> IF(B161="","",setValueToTime(B161))</f>
        <v>0h5min</v>
      </c>
      <c r="D161" s="166" t="s">
        <v>118</v>
      </c>
      <c r="E161" s="243"/>
      <c r="F161" s="244"/>
      <c r="G161" s="51"/>
    </row>
    <row r="162" spans="1:7" s="52" customFormat="1" ht="15" thickBot="1" x14ac:dyDescent="0.35">
      <c r="A162" s="111" t="s">
        <v>28</v>
      </c>
      <c r="B162" s="84">
        <f>SUM(B160:B161)</f>
        <v>48</v>
      </c>
      <c r="C162" s="111" t="str">
        <f xml:space="preserve"> setValueToTime(B162)</f>
        <v>4h</v>
      </c>
      <c r="D162" s="120"/>
      <c r="E162" s="239"/>
      <c r="F162" s="240"/>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5" t="s">
        <v>15</v>
      </c>
      <c r="F165" s="236"/>
      <c r="G165" s="46"/>
    </row>
    <row r="166" spans="1:7" s="52" customFormat="1" x14ac:dyDescent="0.3">
      <c r="A166" s="48" t="s">
        <v>97</v>
      </c>
      <c r="B166" s="49">
        <v>37</v>
      </c>
      <c r="C166" s="152" t="str">
        <f xml:space="preserve"> IF(B166="","",setValueToTime(B166))</f>
        <v>3h5min</v>
      </c>
      <c r="D166" s="165" t="s">
        <v>124</v>
      </c>
      <c r="E166" s="237"/>
      <c r="F166" s="238"/>
      <c r="G166" s="51"/>
    </row>
    <row r="167" spans="1:7" s="52" customFormat="1" ht="15" thickBot="1" x14ac:dyDescent="0.35">
      <c r="A167" s="53" t="s">
        <v>93</v>
      </c>
      <c r="B167" s="54">
        <v>1</v>
      </c>
      <c r="C167" s="153" t="str">
        <f t="shared" ref="C167" si="23" xml:space="preserve"> IF(B167="","",setValueToTime(B167))</f>
        <v>0h5min</v>
      </c>
      <c r="D167" s="166" t="s">
        <v>118</v>
      </c>
      <c r="E167" s="243"/>
      <c r="F167" s="244"/>
      <c r="G167" s="51"/>
    </row>
    <row r="168" spans="1:7" s="52" customFormat="1" ht="15" thickBot="1" x14ac:dyDescent="0.35">
      <c r="A168" s="111" t="s">
        <v>28</v>
      </c>
      <c r="B168" s="84">
        <f>SUM(B166:B167)</f>
        <v>38</v>
      </c>
      <c r="C168" s="111" t="str">
        <f xml:space="preserve"> setValueToTime(B168)</f>
        <v>3h10min</v>
      </c>
      <c r="D168" s="120"/>
      <c r="E168" s="239"/>
      <c r="F168" s="240"/>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41" priority="33" operator="greaterThan">
      <formula>60</formula>
    </cfRule>
  </conditionalFormatting>
  <conditionalFormatting sqref="B162">
    <cfRule type="cellIs" dxfId="40" priority="32" operator="greaterThan">
      <formula>60</formula>
    </cfRule>
  </conditionalFormatting>
  <conditionalFormatting sqref="B156">
    <cfRule type="cellIs" dxfId="39" priority="31" operator="greaterThan">
      <formula>60</formula>
    </cfRule>
  </conditionalFormatting>
  <conditionalFormatting sqref="B148">
    <cfRule type="cellIs" dxfId="38" priority="30" operator="greaterThan">
      <formula>60</formula>
    </cfRule>
  </conditionalFormatting>
  <conditionalFormatting sqref="B142">
    <cfRule type="cellIs" dxfId="37" priority="29" operator="greaterThan">
      <formula>60</formula>
    </cfRule>
  </conditionalFormatting>
  <conditionalFormatting sqref="B136">
    <cfRule type="cellIs" dxfId="36" priority="28" operator="greaterThan">
      <formula>60</formula>
    </cfRule>
  </conditionalFormatting>
  <conditionalFormatting sqref="B130">
    <cfRule type="cellIs" dxfId="35" priority="27" operator="greaterThan">
      <formula>60</formula>
    </cfRule>
  </conditionalFormatting>
  <conditionalFormatting sqref="B124">
    <cfRule type="cellIs" dxfId="34" priority="26" operator="greaterThan">
      <formula>60</formula>
    </cfRule>
  </conditionalFormatting>
  <conditionalFormatting sqref="B118">
    <cfRule type="cellIs" dxfId="33" priority="25" operator="greaterThan">
      <formula>60</formula>
    </cfRule>
  </conditionalFormatting>
  <conditionalFormatting sqref="B113">
    <cfRule type="cellIs" dxfId="32" priority="24" operator="greaterThan">
      <formula>60</formula>
    </cfRule>
  </conditionalFormatting>
  <conditionalFormatting sqref="B108">
    <cfRule type="cellIs" dxfId="31" priority="23" operator="greaterThan">
      <formula>60</formula>
    </cfRule>
  </conditionalFormatting>
  <conditionalFormatting sqref="B102">
    <cfRule type="cellIs" dxfId="30" priority="22" operator="greaterThan">
      <formula>60</formula>
    </cfRule>
  </conditionalFormatting>
  <conditionalFormatting sqref="B94">
    <cfRule type="cellIs" dxfId="29" priority="21" operator="greaterThan">
      <formula>60</formula>
    </cfRule>
  </conditionalFormatting>
  <conditionalFormatting sqref="B88">
    <cfRule type="cellIs" dxfId="28" priority="20" operator="greaterThan">
      <formula>60</formula>
    </cfRule>
  </conditionalFormatting>
  <conditionalFormatting sqref="B81">
    <cfRule type="cellIs" dxfId="27" priority="19" operator="greaterThan">
      <formula>60</formula>
    </cfRule>
  </conditionalFormatting>
  <conditionalFormatting sqref="B74">
    <cfRule type="cellIs" dxfId="26" priority="14" operator="greaterThan">
      <formula>60</formula>
    </cfRule>
  </conditionalFormatting>
  <conditionalFormatting sqref="B67">
    <cfRule type="cellIs" dxfId="25" priority="13" operator="greaterThan">
      <formula>60</formula>
    </cfRule>
  </conditionalFormatting>
  <conditionalFormatting sqref="B60">
    <cfRule type="cellIs" dxfId="24" priority="12" operator="greaterThan">
      <formula>60</formula>
    </cfRule>
  </conditionalFormatting>
  <conditionalFormatting sqref="B54">
    <cfRule type="cellIs" dxfId="23" priority="11" operator="greaterThan">
      <formula>60</formula>
    </cfRule>
  </conditionalFormatting>
  <conditionalFormatting sqref="B48">
    <cfRule type="cellIs" dxfId="22" priority="10" operator="greaterThan">
      <formula>60</formula>
    </cfRule>
  </conditionalFormatting>
  <conditionalFormatting sqref="B42">
    <cfRule type="cellIs" dxfId="21" priority="9" operator="greaterThan">
      <formula>60</formula>
    </cfRule>
  </conditionalFormatting>
  <conditionalFormatting sqref="B35">
    <cfRule type="cellIs" dxfId="20" priority="8" operator="greaterThan">
      <formula>60</formula>
    </cfRule>
  </conditionalFormatting>
  <conditionalFormatting sqref="B29">
    <cfRule type="cellIs" dxfId="19" priority="6" operator="greaterThan">
      <formula>60</formula>
    </cfRule>
  </conditionalFormatting>
  <conditionalFormatting sqref="B23">
    <cfRule type="cellIs" dxfId="18" priority="5" operator="greaterThan">
      <formula>60</formula>
    </cfRule>
  </conditionalFormatting>
  <conditionalFormatting sqref="B17">
    <cfRule type="cellIs" dxfId="17" priority="4" operator="greaterThan">
      <formula>60</formula>
    </cfRule>
  </conditionalFormatting>
  <conditionalFormatting sqref="B11">
    <cfRule type="cellIs" dxfId="16" priority="3" operator="greaterThan">
      <formula>60</formula>
    </cfRule>
  </conditionalFormatting>
  <conditionalFormatting sqref="B5">
    <cfRule type="cellIs" dxfId="15"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57"/>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13</v>
      </c>
      <c r="C2" s="164"/>
      <c r="D2" s="157" t="s">
        <v>16</v>
      </c>
      <c r="E2" s="158" t="s">
        <v>70</v>
      </c>
      <c r="F2" s="159" t="s">
        <v>45</v>
      </c>
      <c r="G2" s="46"/>
    </row>
    <row r="3" spans="1:7" s="47" customFormat="1" ht="30" customHeight="1" thickBot="1" x14ac:dyDescent="0.3">
      <c r="A3" s="78" t="s">
        <v>5</v>
      </c>
      <c r="B3" s="161" t="s">
        <v>39</v>
      </c>
      <c r="C3" s="160"/>
      <c r="D3" s="78" t="s">
        <v>14</v>
      </c>
      <c r="E3" s="248" t="s">
        <v>15</v>
      </c>
      <c r="F3" s="249"/>
      <c r="G3" s="46"/>
    </row>
    <row r="4" spans="1:7" s="52" customFormat="1" ht="40.5" x14ac:dyDescent="0.3">
      <c r="A4" s="48" t="s">
        <v>104</v>
      </c>
      <c r="B4" s="49">
        <v>6</v>
      </c>
      <c r="C4" s="152" t="str">
        <f xml:space="preserve"> IF(B4="","",setValueToTime(B4))</f>
        <v>0h30min</v>
      </c>
      <c r="D4" s="165" t="s">
        <v>200</v>
      </c>
      <c r="E4" s="237"/>
      <c r="F4" s="238"/>
      <c r="G4" s="51"/>
    </row>
    <row r="5" spans="1:7" s="52" customFormat="1" ht="40.5" x14ac:dyDescent="0.3">
      <c r="A5" s="53" t="s">
        <v>96</v>
      </c>
      <c r="B5" s="54">
        <v>10</v>
      </c>
      <c r="C5" s="153" t="str">
        <f t="shared" ref="C5:C11" si="0" xml:space="preserve"> IF(B5="","",setValueToTime(B5))</f>
        <v>0h50min</v>
      </c>
      <c r="D5" s="166" t="s">
        <v>201</v>
      </c>
      <c r="E5" s="243"/>
      <c r="F5" s="244"/>
      <c r="G5" s="51"/>
    </row>
    <row r="6" spans="1:7" s="52" customFormat="1" ht="40.5" x14ac:dyDescent="0.3">
      <c r="A6" s="53" t="s">
        <v>96</v>
      </c>
      <c r="B6" s="54">
        <v>20</v>
      </c>
      <c r="C6" s="153" t="str">
        <f t="shared" si="0"/>
        <v>1h40min</v>
      </c>
      <c r="D6" s="166" t="s">
        <v>202</v>
      </c>
      <c r="E6" s="243"/>
      <c r="F6" s="244"/>
      <c r="G6" s="51"/>
    </row>
    <row r="7" spans="1:7" s="52" customFormat="1" ht="27" x14ac:dyDescent="0.3">
      <c r="A7" s="53" t="s">
        <v>93</v>
      </c>
      <c r="B7" s="54">
        <v>10</v>
      </c>
      <c r="C7" s="153" t="str">
        <f t="shared" si="0"/>
        <v>0h50min</v>
      </c>
      <c r="D7" s="166" t="s">
        <v>91</v>
      </c>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x14ac:dyDescent="0.3">
      <c r="A10" s="54"/>
      <c r="B10" s="54"/>
      <c r="C10" s="154" t="str">
        <f t="shared" si="0"/>
        <v/>
      </c>
      <c r="D10" s="55"/>
      <c r="E10" s="243"/>
      <c r="F10" s="244"/>
      <c r="G10" s="51"/>
    </row>
    <row r="11" spans="1:7" s="52" customFormat="1" ht="15" thickBot="1" x14ac:dyDescent="0.35">
      <c r="A11" s="56"/>
      <c r="B11" s="56"/>
      <c r="C11" s="155" t="str">
        <f t="shared" si="0"/>
        <v/>
      </c>
      <c r="D11" s="57"/>
      <c r="E11" s="241"/>
      <c r="F11" s="242"/>
      <c r="G11" s="51"/>
    </row>
    <row r="12" spans="1:7" s="52" customFormat="1" ht="15" thickBot="1" x14ac:dyDescent="0.35">
      <c r="A12" s="162" t="s">
        <v>28</v>
      </c>
      <c r="B12" s="83">
        <f>SUM(B4:B11)</f>
        <v>46</v>
      </c>
      <c r="C12" s="162" t="str">
        <f xml:space="preserve"> setValueToTime(B12)</f>
        <v>3h50min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12</v>
      </c>
      <c r="C14" s="164"/>
      <c r="D14" s="157" t="s">
        <v>16</v>
      </c>
      <c r="E14" s="158" t="s">
        <v>72</v>
      </c>
      <c r="F14" s="159" t="s">
        <v>44</v>
      </c>
      <c r="G14" s="46"/>
    </row>
    <row r="15" spans="1:7" s="47" customFormat="1" ht="30" customHeight="1" thickBot="1" x14ac:dyDescent="0.3">
      <c r="A15" s="78" t="s">
        <v>5</v>
      </c>
      <c r="B15" s="161" t="s">
        <v>39</v>
      </c>
      <c r="C15" s="160"/>
      <c r="D15" s="78" t="s">
        <v>14</v>
      </c>
      <c r="E15" s="248" t="s">
        <v>15</v>
      </c>
      <c r="F15" s="249"/>
      <c r="G15" s="46"/>
    </row>
    <row r="16" spans="1:7" s="52" customFormat="1" ht="40.5" x14ac:dyDescent="0.3">
      <c r="A16" s="48" t="s">
        <v>105</v>
      </c>
      <c r="B16" s="49">
        <v>16</v>
      </c>
      <c r="C16" s="152" t="str">
        <f xml:space="preserve"> IF(B16="","",setValueToTime(B16))</f>
        <v>1h20min</v>
      </c>
      <c r="D16" s="165" t="s">
        <v>197</v>
      </c>
      <c r="E16" s="237"/>
      <c r="F16" s="238"/>
      <c r="G16" s="51"/>
    </row>
    <row r="17" spans="1:7" s="52" customFormat="1" ht="40.5" x14ac:dyDescent="0.3">
      <c r="A17" s="53" t="s">
        <v>104</v>
      </c>
      <c r="B17" s="54">
        <v>10</v>
      </c>
      <c r="C17" s="153" t="str">
        <f t="shared" ref="C17:C23" si="1" xml:space="preserve"> IF(B17="","",setValueToTime(B17))</f>
        <v>0h50min</v>
      </c>
      <c r="D17" s="166" t="s">
        <v>198</v>
      </c>
      <c r="E17" s="243"/>
      <c r="F17" s="244"/>
      <c r="G17" s="51"/>
    </row>
    <row r="18" spans="1:7" s="52" customFormat="1" ht="54" x14ac:dyDescent="0.3">
      <c r="A18" s="53" t="s">
        <v>113</v>
      </c>
      <c r="B18" s="54">
        <v>12</v>
      </c>
      <c r="C18" s="153" t="str">
        <f t="shared" si="1"/>
        <v>1h</v>
      </c>
      <c r="D18" s="166" t="s">
        <v>199</v>
      </c>
      <c r="E18" s="243"/>
      <c r="F18" s="244"/>
      <c r="G18" s="51"/>
    </row>
    <row r="19" spans="1:7" s="52" customFormat="1" x14ac:dyDescent="0.3">
      <c r="A19" s="53"/>
      <c r="B19" s="54"/>
      <c r="C19" s="153" t="str">
        <f t="shared" si="1"/>
        <v/>
      </c>
      <c r="D19" s="55"/>
      <c r="E19" s="243"/>
      <c r="F19" s="244"/>
      <c r="G19" s="51"/>
    </row>
    <row r="20" spans="1:7" s="52" customFormat="1" x14ac:dyDescent="0.3">
      <c r="A20" s="54"/>
      <c r="B20" s="54"/>
      <c r="C20" s="154" t="str">
        <f t="shared" si="1"/>
        <v/>
      </c>
      <c r="D20" s="55"/>
      <c r="E20" s="243"/>
      <c r="F20" s="244"/>
      <c r="G20" s="51"/>
    </row>
    <row r="21" spans="1:7" s="52" customFormat="1" x14ac:dyDescent="0.3">
      <c r="A21" s="54"/>
      <c r="B21" s="54"/>
      <c r="C21" s="154" t="str">
        <f t="shared" si="1"/>
        <v/>
      </c>
      <c r="D21" s="55"/>
      <c r="E21" s="243"/>
      <c r="F21" s="244"/>
      <c r="G21" s="51"/>
    </row>
    <row r="22" spans="1:7" s="52" customFormat="1" x14ac:dyDescent="0.3">
      <c r="A22" s="54"/>
      <c r="B22" s="54"/>
      <c r="C22" s="154" t="str">
        <f t="shared" si="1"/>
        <v/>
      </c>
      <c r="D22" s="55"/>
      <c r="E22" s="243"/>
      <c r="F22" s="244"/>
      <c r="G22" s="51"/>
    </row>
    <row r="23" spans="1:7" s="52" customFormat="1" ht="15" thickBot="1" x14ac:dyDescent="0.35">
      <c r="A23" s="56"/>
      <c r="B23" s="56"/>
      <c r="C23" s="155" t="str">
        <f t="shared" si="1"/>
        <v/>
      </c>
      <c r="D23" s="57"/>
      <c r="E23" s="241"/>
      <c r="F23" s="242"/>
      <c r="G23" s="51"/>
    </row>
    <row r="24" spans="1:7" s="52" customFormat="1" ht="15" thickBot="1" x14ac:dyDescent="0.35">
      <c r="A24" s="162" t="s">
        <v>28</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11</v>
      </c>
      <c r="C26" s="164"/>
      <c r="D26" s="157" t="s">
        <v>16</v>
      </c>
      <c r="E26" s="158" t="s">
        <v>72</v>
      </c>
      <c r="F26" s="159" t="s">
        <v>45</v>
      </c>
      <c r="G26" s="46"/>
    </row>
    <row r="27" spans="1:7" s="47" customFormat="1" ht="30" customHeight="1" thickBot="1" x14ac:dyDescent="0.3">
      <c r="A27" s="78" t="s">
        <v>5</v>
      </c>
      <c r="B27" s="161" t="s">
        <v>39</v>
      </c>
      <c r="C27" s="160"/>
      <c r="D27" s="78" t="s">
        <v>14</v>
      </c>
      <c r="E27" s="248" t="s">
        <v>15</v>
      </c>
      <c r="F27" s="249"/>
      <c r="G27" s="46"/>
    </row>
    <row r="28" spans="1:7" s="52" customFormat="1" x14ac:dyDescent="0.3">
      <c r="A28" s="48" t="s">
        <v>4</v>
      </c>
      <c r="B28" s="49">
        <v>3</v>
      </c>
      <c r="C28" s="152" t="str">
        <f xml:space="preserve"> IF(B28="","",setValueToTime(B28))</f>
        <v>0h15min</v>
      </c>
      <c r="D28" s="165" t="s">
        <v>191</v>
      </c>
      <c r="E28" s="237"/>
      <c r="F28" s="238"/>
      <c r="G28" s="51"/>
    </row>
    <row r="29" spans="1:7" s="52" customFormat="1" ht="27" x14ac:dyDescent="0.3">
      <c r="A29" s="53" t="s">
        <v>110</v>
      </c>
      <c r="B29" s="54">
        <v>4</v>
      </c>
      <c r="C29" s="153" t="str">
        <f t="shared" ref="C29:C35" si="2" xml:space="preserve"> IF(B29="","",setValueToTime(B29))</f>
        <v>0h20min</v>
      </c>
      <c r="D29" s="166" t="s">
        <v>192</v>
      </c>
      <c r="E29" s="243"/>
      <c r="F29" s="244"/>
      <c r="G29" s="51"/>
    </row>
    <row r="30" spans="1:7" s="52" customFormat="1" ht="27" x14ac:dyDescent="0.3">
      <c r="A30" s="53" t="s">
        <v>114</v>
      </c>
      <c r="B30" s="54">
        <v>17</v>
      </c>
      <c r="C30" s="153" t="str">
        <f t="shared" si="2"/>
        <v>1h25min</v>
      </c>
      <c r="D30" s="166" t="s">
        <v>193</v>
      </c>
      <c r="E30" s="243"/>
      <c r="F30" s="244"/>
      <c r="G30" s="51"/>
    </row>
    <row r="31" spans="1:7" s="52" customFormat="1" ht="27" x14ac:dyDescent="0.3">
      <c r="A31" s="53" t="s">
        <v>111</v>
      </c>
      <c r="B31" s="54">
        <v>14</v>
      </c>
      <c r="C31" s="153" t="str">
        <f t="shared" si="2"/>
        <v>1h10min</v>
      </c>
      <c r="D31" s="166" t="s">
        <v>194</v>
      </c>
      <c r="E31" s="243"/>
      <c r="F31" s="244"/>
      <c r="G31" s="51"/>
    </row>
    <row r="32" spans="1:7" s="52" customFormat="1" x14ac:dyDescent="0.3">
      <c r="A32" s="54"/>
      <c r="B32" s="54"/>
      <c r="C32" s="154" t="str">
        <f t="shared" si="2"/>
        <v/>
      </c>
      <c r="D32" s="55"/>
      <c r="E32" s="243"/>
      <c r="F32" s="244"/>
      <c r="G32" s="51"/>
    </row>
    <row r="33" spans="1:7" s="52" customFormat="1" x14ac:dyDescent="0.3">
      <c r="A33" s="54"/>
      <c r="B33" s="54"/>
      <c r="C33" s="154" t="str">
        <f t="shared" si="2"/>
        <v/>
      </c>
      <c r="D33" s="55"/>
      <c r="E33" s="243"/>
      <c r="F33" s="244"/>
      <c r="G33" s="51"/>
    </row>
    <row r="34" spans="1:7" s="52" customFormat="1" x14ac:dyDescent="0.3">
      <c r="A34" s="54"/>
      <c r="B34" s="54"/>
      <c r="C34" s="154" t="str">
        <f t="shared" si="2"/>
        <v/>
      </c>
      <c r="D34" s="55"/>
      <c r="E34" s="243"/>
      <c r="F34" s="244"/>
      <c r="G34" s="51"/>
    </row>
    <row r="35" spans="1:7" s="52" customFormat="1" ht="15" thickBot="1" x14ac:dyDescent="0.35">
      <c r="A35" s="56"/>
      <c r="B35" s="56"/>
      <c r="C35" s="155" t="str">
        <f t="shared" si="2"/>
        <v/>
      </c>
      <c r="D35" s="57"/>
      <c r="E35" s="241"/>
      <c r="F35" s="242"/>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10</v>
      </c>
      <c r="C38" s="164"/>
      <c r="D38" s="157" t="s">
        <v>16</v>
      </c>
      <c r="E38" s="158" t="s">
        <v>75</v>
      </c>
      <c r="F38" s="159" t="s">
        <v>44</v>
      </c>
      <c r="G38" s="46"/>
    </row>
    <row r="39" spans="1:7" s="47" customFormat="1" ht="30" customHeight="1" thickBot="1" x14ac:dyDescent="0.3">
      <c r="A39" s="78" t="s">
        <v>5</v>
      </c>
      <c r="B39" s="161" t="s">
        <v>39</v>
      </c>
      <c r="C39" s="160"/>
      <c r="D39" s="78" t="s">
        <v>14</v>
      </c>
      <c r="E39" s="248" t="s">
        <v>15</v>
      </c>
      <c r="F39" s="249"/>
      <c r="G39" s="46"/>
    </row>
    <row r="40" spans="1:7" s="52" customFormat="1" x14ac:dyDescent="0.3">
      <c r="A40" s="48" t="s">
        <v>4</v>
      </c>
      <c r="B40" s="49">
        <v>38</v>
      </c>
      <c r="C40" s="152" t="str">
        <f xml:space="preserve"> IF(B40="","",setValueToTime(B40))</f>
        <v>3h10min</v>
      </c>
      <c r="D40" s="165" t="s">
        <v>190</v>
      </c>
      <c r="E40" s="237"/>
      <c r="F40" s="238"/>
      <c r="G40" s="51"/>
    </row>
    <row r="41" spans="1:7" s="52" customFormat="1" x14ac:dyDescent="0.3">
      <c r="A41" s="53"/>
      <c r="B41" s="54"/>
      <c r="C41" s="153" t="str">
        <f t="shared" ref="C41:C47" si="3" xml:space="preserve"> IF(B41="","",setValueToTime(B41))</f>
        <v/>
      </c>
      <c r="D41" s="55"/>
      <c r="E41" s="243"/>
      <c r="F41" s="244"/>
      <c r="G41" s="51"/>
    </row>
    <row r="42" spans="1:7" s="52" customFormat="1" x14ac:dyDescent="0.3">
      <c r="A42" s="53"/>
      <c r="B42" s="54"/>
      <c r="C42" s="153" t="str">
        <f t="shared" si="3"/>
        <v/>
      </c>
      <c r="D42" s="55"/>
      <c r="E42" s="243"/>
      <c r="F42" s="244"/>
      <c r="G42" s="51"/>
    </row>
    <row r="43" spans="1:7" s="52" customFormat="1" x14ac:dyDescent="0.3">
      <c r="A43" s="53"/>
      <c r="B43" s="54"/>
      <c r="C43" s="153" t="str">
        <f t="shared" si="3"/>
        <v/>
      </c>
      <c r="D43" s="55"/>
      <c r="E43" s="243"/>
      <c r="F43" s="244"/>
      <c r="G43" s="51"/>
    </row>
    <row r="44" spans="1:7" s="52" customFormat="1" x14ac:dyDescent="0.3">
      <c r="A44" s="54"/>
      <c r="B44" s="54"/>
      <c r="C44" s="154" t="str">
        <f t="shared" si="3"/>
        <v/>
      </c>
      <c r="D44" s="55"/>
      <c r="E44" s="243"/>
      <c r="F44" s="244"/>
      <c r="G44" s="51"/>
    </row>
    <row r="45" spans="1:7" s="52" customFormat="1" x14ac:dyDescent="0.3">
      <c r="A45" s="54"/>
      <c r="B45" s="54"/>
      <c r="C45" s="154" t="str">
        <f t="shared" si="3"/>
        <v/>
      </c>
      <c r="D45" s="55"/>
      <c r="E45" s="243"/>
      <c r="F45" s="244"/>
      <c r="G45" s="51"/>
    </row>
    <row r="46" spans="1:7" s="52" customFormat="1" x14ac:dyDescent="0.3">
      <c r="A46" s="54"/>
      <c r="B46" s="54"/>
      <c r="C46" s="154" t="str">
        <f t="shared" si="3"/>
        <v/>
      </c>
      <c r="D46" s="55"/>
      <c r="E46" s="243"/>
      <c r="F46" s="244"/>
      <c r="G46" s="51"/>
    </row>
    <row r="47" spans="1:7" s="52" customFormat="1" ht="15" thickBot="1" x14ac:dyDescent="0.35">
      <c r="A47" s="56"/>
      <c r="B47" s="56"/>
      <c r="C47" s="155" t="str">
        <f t="shared" si="3"/>
        <v/>
      </c>
      <c r="D47" s="57"/>
      <c r="E47" s="241"/>
      <c r="F47" s="242"/>
      <c r="G47" s="51"/>
    </row>
    <row r="48" spans="1:7" s="52" customFormat="1" ht="15" thickBot="1" x14ac:dyDescent="0.35">
      <c r="A48" s="162" t="s">
        <v>28</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9</v>
      </c>
      <c r="C50" s="164"/>
      <c r="D50" s="157" t="s">
        <v>16</v>
      </c>
      <c r="E50" s="158" t="s">
        <v>75</v>
      </c>
      <c r="F50" s="159" t="s">
        <v>45</v>
      </c>
      <c r="G50" s="46"/>
    </row>
    <row r="51" spans="1:7" s="47" customFormat="1" ht="30" customHeight="1" thickBot="1" x14ac:dyDescent="0.3">
      <c r="A51" s="78" t="s">
        <v>5</v>
      </c>
      <c r="B51" s="161" t="s">
        <v>39</v>
      </c>
      <c r="C51" s="160"/>
      <c r="D51" s="78" t="s">
        <v>14</v>
      </c>
      <c r="E51" s="248" t="s">
        <v>15</v>
      </c>
      <c r="F51" s="249"/>
      <c r="G51" s="46"/>
    </row>
    <row r="52" spans="1:7" s="52" customFormat="1" x14ac:dyDescent="0.3">
      <c r="A52" s="48" t="s">
        <v>4</v>
      </c>
      <c r="B52" s="49">
        <v>48</v>
      </c>
      <c r="C52" s="152" t="str">
        <f xml:space="preserve"> IF(B52="","",setValueToTime(B52))</f>
        <v>4h</v>
      </c>
      <c r="D52" s="165" t="s">
        <v>190</v>
      </c>
      <c r="E52" s="237"/>
      <c r="F52" s="238"/>
      <c r="G52" s="51"/>
    </row>
    <row r="53" spans="1:7" s="52" customFormat="1" x14ac:dyDescent="0.3">
      <c r="A53" s="53"/>
      <c r="B53" s="54"/>
      <c r="C53" s="153" t="str">
        <f t="shared" ref="C53:C59" si="4" xml:space="preserve"> IF(B53="","",setValueToTime(B53))</f>
        <v/>
      </c>
      <c r="D53" s="55"/>
      <c r="E53" s="243"/>
      <c r="F53" s="244"/>
      <c r="G53" s="51"/>
    </row>
    <row r="54" spans="1:7" s="52" customFormat="1" x14ac:dyDescent="0.3">
      <c r="A54" s="53"/>
      <c r="B54" s="54"/>
      <c r="C54" s="153" t="str">
        <f t="shared" si="4"/>
        <v/>
      </c>
      <c r="D54" s="55"/>
      <c r="E54" s="243"/>
      <c r="F54" s="244"/>
      <c r="G54" s="51"/>
    </row>
    <row r="55" spans="1:7" s="52" customFormat="1" x14ac:dyDescent="0.3">
      <c r="A55" s="53"/>
      <c r="B55" s="54"/>
      <c r="C55" s="153" t="str">
        <f t="shared" si="4"/>
        <v/>
      </c>
      <c r="D55" s="55"/>
      <c r="E55" s="243"/>
      <c r="F55" s="244"/>
      <c r="G55" s="51"/>
    </row>
    <row r="56" spans="1:7" s="52" customFormat="1" x14ac:dyDescent="0.3">
      <c r="A56" s="54"/>
      <c r="B56" s="54"/>
      <c r="C56" s="154" t="str">
        <f t="shared" si="4"/>
        <v/>
      </c>
      <c r="D56" s="55"/>
      <c r="E56" s="243"/>
      <c r="F56" s="244"/>
      <c r="G56" s="51"/>
    </row>
    <row r="57" spans="1:7" s="52" customFormat="1" x14ac:dyDescent="0.3">
      <c r="A57" s="54"/>
      <c r="B57" s="54"/>
      <c r="C57" s="154" t="str">
        <f t="shared" si="4"/>
        <v/>
      </c>
      <c r="D57" s="55"/>
      <c r="E57" s="243"/>
      <c r="F57" s="244"/>
      <c r="G57" s="51"/>
    </row>
    <row r="58" spans="1:7" s="52" customFormat="1" x14ac:dyDescent="0.3">
      <c r="A58" s="54"/>
      <c r="B58" s="54"/>
      <c r="C58" s="154" t="str">
        <f t="shared" si="4"/>
        <v/>
      </c>
      <c r="D58" s="55"/>
      <c r="E58" s="243"/>
      <c r="F58" s="244"/>
      <c r="G58" s="51"/>
    </row>
    <row r="59" spans="1:7" s="52" customFormat="1" ht="15" thickBot="1" x14ac:dyDescent="0.35">
      <c r="A59" s="56"/>
      <c r="B59" s="56"/>
      <c r="C59" s="155" t="str">
        <f t="shared" si="4"/>
        <v/>
      </c>
      <c r="D59" s="57"/>
      <c r="E59" s="241"/>
      <c r="F59" s="242"/>
      <c r="G59" s="51"/>
    </row>
    <row r="60" spans="1:7" s="52" customFormat="1" ht="15" thickBot="1" x14ac:dyDescent="0.35">
      <c r="A60" s="162" t="s">
        <v>28</v>
      </c>
      <c r="B60" s="83">
        <f>SUM(B52:B59)</f>
        <v>48</v>
      </c>
      <c r="C60" s="162" t="str">
        <f xml:space="preserve"> setValueToTime(B60)</f>
        <v>4h</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8</v>
      </c>
      <c r="C62" s="164"/>
      <c r="D62" s="157" t="s">
        <v>16</v>
      </c>
      <c r="E62" s="158" t="s">
        <v>78</v>
      </c>
      <c r="F62" s="159" t="s">
        <v>44</v>
      </c>
      <c r="G62" s="46"/>
    </row>
    <row r="63" spans="1:7" s="47" customFormat="1" ht="30" customHeight="1" thickBot="1" x14ac:dyDescent="0.3">
      <c r="A63" s="78" t="s">
        <v>5</v>
      </c>
      <c r="B63" s="161" t="s">
        <v>39</v>
      </c>
      <c r="C63" s="160"/>
      <c r="D63" s="78" t="s">
        <v>14</v>
      </c>
      <c r="E63" s="248" t="s">
        <v>15</v>
      </c>
      <c r="F63" s="249"/>
      <c r="G63" s="46"/>
    </row>
    <row r="64" spans="1:7" s="52" customFormat="1" ht="40.5" x14ac:dyDescent="0.3">
      <c r="A64" s="48" t="s">
        <v>116</v>
      </c>
      <c r="B64" s="49">
        <v>24</v>
      </c>
      <c r="C64" s="152" t="str">
        <f xml:space="preserve"> IF(B64="","",setValueToTime(B64))</f>
        <v>2h</v>
      </c>
      <c r="D64" s="165" t="s">
        <v>187</v>
      </c>
      <c r="E64" s="250" t="s">
        <v>188</v>
      </c>
      <c r="F64" s="238"/>
      <c r="G64" s="51"/>
    </row>
    <row r="65" spans="1:7" s="52" customFormat="1" ht="27" x14ac:dyDescent="0.3">
      <c r="A65" s="53" t="s">
        <v>110</v>
      </c>
      <c r="B65" s="54">
        <v>14</v>
      </c>
      <c r="C65" s="153" t="str">
        <f t="shared" ref="C65:C71" si="5" xml:space="preserve"> IF(B65="","",setValueToTime(B65))</f>
        <v>1h10min</v>
      </c>
      <c r="D65" s="166" t="s">
        <v>189</v>
      </c>
      <c r="E65" s="243"/>
      <c r="F65" s="244"/>
      <c r="G65" s="51"/>
    </row>
    <row r="66" spans="1:7" s="52" customFormat="1" x14ac:dyDescent="0.3">
      <c r="A66" s="53"/>
      <c r="B66" s="54"/>
      <c r="C66" s="153" t="str">
        <f t="shared" si="5"/>
        <v/>
      </c>
      <c r="D66" s="55"/>
      <c r="E66" s="243"/>
      <c r="F66" s="244"/>
      <c r="G66" s="51"/>
    </row>
    <row r="67" spans="1:7" s="52" customFormat="1" x14ac:dyDescent="0.3">
      <c r="A67" s="53"/>
      <c r="B67" s="54"/>
      <c r="C67" s="153" t="str">
        <f t="shared" si="5"/>
        <v/>
      </c>
      <c r="D67" s="55"/>
      <c r="E67" s="243"/>
      <c r="F67" s="244"/>
      <c r="G67" s="51"/>
    </row>
    <row r="68" spans="1:7" s="52" customFormat="1" x14ac:dyDescent="0.3">
      <c r="A68" s="54"/>
      <c r="B68" s="54"/>
      <c r="C68" s="154" t="str">
        <f t="shared" si="5"/>
        <v/>
      </c>
      <c r="D68" s="55"/>
      <c r="E68" s="243"/>
      <c r="F68" s="244"/>
      <c r="G68" s="51"/>
    </row>
    <row r="69" spans="1:7" s="52" customFormat="1" x14ac:dyDescent="0.3">
      <c r="A69" s="54"/>
      <c r="B69" s="54"/>
      <c r="C69" s="154" t="str">
        <f t="shared" si="5"/>
        <v/>
      </c>
      <c r="D69" s="55"/>
      <c r="E69" s="243"/>
      <c r="F69" s="244"/>
      <c r="G69" s="51"/>
    </row>
    <row r="70" spans="1:7" s="52" customFormat="1" x14ac:dyDescent="0.3">
      <c r="A70" s="54"/>
      <c r="B70" s="54"/>
      <c r="C70" s="154" t="str">
        <f t="shared" si="5"/>
        <v/>
      </c>
      <c r="D70" s="55"/>
      <c r="E70" s="243"/>
      <c r="F70" s="244"/>
      <c r="G70" s="51"/>
    </row>
    <row r="71" spans="1:7" s="52" customFormat="1" ht="15" thickBot="1" x14ac:dyDescent="0.35">
      <c r="A71" s="56"/>
      <c r="B71" s="56"/>
      <c r="C71" s="155" t="str">
        <f t="shared" si="5"/>
        <v/>
      </c>
      <c r="D71" s="57"/>
      <c r="E71" s="241"/>
      <c r="F71" s="242"/>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7</v>
      </c>
      <c r="C74" s="164"/>
      <c r="D74" s="157" t="s">
        <v>16</v>
      </c>
      <c r="E74" s="158" t="s">
        <v>78</v>
      </c>
      <c r="F74" s="159" t="s">
        <v>45</v>
      </c>
      <c r="G74" s="46"/>
    </row>
    <row r="75" spans="1:7" s="47" customFormat="1" ht="30" customHeight="1" thickBot="1" x14ac:dyDescent="0.3">
      <c r="A75" s="78" t="s">
        <v>5</v>
      </c>
      <c r="B75" s="161" t="s">
        <v>39</v>
      </c>
      <c r="C75" s="160"/>
      <c r="D75" s="78" t="s">
        <v>14</v>
      </c>
      <c r="E75" s="248" t="s">
        <v>15</v>
      </c>
      <c r="F75" s="249"/>
      <c r="G75" s="46"/>
    </row>
    <row r="76" spans="1:7" s="52" customFormat="1" ht="54" x14ac:dyDescent="0.3">
      <c r="A76" s="48" t="s">
        <v>101</v>
      </c>
      <c r="B76" s="49">
        <v>6</v>
      </c>
      <c r="C76" s="152" t="str">
        <f xml:space="preserve"> IF(B76="","",setValueToTime(B76))</f>
        <v>0h30min</v>
      </c>
      <c r="D76" s="165" t="s">
        <v>181</v>
      </c>
      <c r="E76" s="250" t="s">
        <v>170</v>
      </c>
      <c r="F76" s="238"/>
      <c r="G76" s="51"/>
    </row>
    <row r="77" spans="1:7" s="52" customFormat="1" ht="27" x14ac:dyDescent="0.3">
      <c r="A77" s="53" t="s">
        <v>101</v>
      </c>
      <c r="B77" s="54">
        <v>7</v>
      </c>
      <c r="C77" s="153" t="str">
        <f t="shared" ref="C77:C83" si="6" xml:space="preserve"> IF(B77="","",setValueToTime(B77))</f>
        <v>0h35min</v>
      </c>
      <c r="D77" s="166" t="s">
        <v>182</v>
      </c>
      <c r="E77" s="243"/>
      <c r="F77" s="244"/>
      <c r="G77" s="51"/>
    </row>
    <row r="78" spans="1:7" s="52" customFormat="1" ht="40.5" x14ac:dyDescent="0.3">
      <c r="A78" s="53" t="s">
        <v>102</v>
      </c>
      <c r="B78" s="54">
        <v>5</v>
      </c>
      <c r="C78" s="153" t="str">
        <f t="shared" si="6"/>
        <v>0h25min</v>
      </c>
      <c r="D78" s="166" t="s">
        <v>183</v>
      </c>
      <c r="E78" s="251" t="s">
        <v>184</v>
      </c>
      <c r="F78" s="244"/>
      <c r="G78" s="51"/>
    </row>
    <row r="79" spans="1:7" s="52" customFormat="1" ht="40.5" x14ac:dyDescent="0.3">
      <c r="A79" s="53" t="s">
        <v>116</v>
      </c>
      <c r="B79" s="54">
        <v>30</v>
      </c>
      <c r="C79" s="153" t="str">
        <f t="shared" si="6"/>
        <v>2h30min</v>
      </c>
      <c r="D79" s="166" t="s">
        <v>186</v>
      </c>
      <c r="E79" s="252" t="s">
        <v>185</v>
      </c>
      <c r="F79" s="244"/>
      <c r="G79" s="51"/>
    </row>
    <row r="80" spans="1:7" s="52" customFormat="1" x14ac:dyDescent="0.3">
      <c r="A80" s="54"/>
      <c r="B80" s="54"/>
      <c r="C80" s="154" t="str">
        <f t="shared" si="6"/>
        <v/>
      </c>
      <c r="D80" s="55"/>
      <c r="E80" s="243"/>
      <c r="F80" s="244"/>
      <c r="G80" s="51"/>
    </row>
    <row r="81" spans="1:7" s="52" customFormat="1" x14ac:dyDescent="0.3">
      <c r="A81" s="54"/>
      <c r="B81" s="54"/>
      <c r="C81" s="154" t="str">
        <f t="shared" si="6"/>
        <v/>
      </c>
      <c r="D81" s="55"/>
      <c r="E81" s="243"/>
      <c r="F81" s="244"/>
      <c r="G81" s="51"/>
    </row>
    <row r="82" spans="1:7" s="52" customFormat="1" x14ac:dyDescent="0.3">
      <c r="A82" s="54"/>
      <c r="B82" s="54"/>
      <c r="C82" s="154" t="str">
        <f t="shared" si="6"/>
        <v/>
      </c>
      <c r="D82" s="55"/>
      <c r="E82" s="243"/>
      <c r="F82" s="244"/>
      <c r="G82" s="51"/>
    </row>
    <row r="83" spans="1:7" s="52" customFormat="1" ht="15" thickBot="1" x14ac:dyDescent="0.35">
      <c r="A83" s="56"/>
      <c r="B83" s="56"/>
      <c r="C83" s="155" t="str">
        <f t="shared" si="6"/>
        <v/>
      </c>
      <c r="D83" s="57"/>
      <c r="E83" s="241"/>
      <c r="F83" s="242"/>
      <c r="G83" s="51"/>
    </row>
    <row r="84" spans="1:7" s="52" customFormat="1" ht="15" thickBot="1" x14ac:dyDescent="0.35">
      <c r="A84" s="162" t="s">
        <v>28</v>
      </c>
      <c r="B84" s="83">
        <f>SUM(B76:B83)</f>
        <v>48</v>
      </c>
      <c r="C84" s="162" t="str">
        <f xml:space="preserve"> setValueToTime(B84)</f>
        <v>4h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6</v>
      </c>
      <c r="C86" s="164"/>
      <c r="D86" s="157" t="s">
        <v>16</v>
      </c>
      <c r="E86" s="158" t="s">
        <v>81</v>
      </c>
      <c r="F86" s="159" t="s">
        <v>45</v>
      </c>
      <c r="G86" s="46"/>
    </row>
    <row r="87" spans="1:7" s="47" customFormat="1" ht="30" customHeight="1" thickBot="1" x14ac:dyDescent="0.3">
      <c r="A87" s="78" t="s">
        <v>5</v>
      </c>
      <c r="B87" s="161" t="s">
        <v>39</v>
      </c>
      <c r="C87" s="160"/>
      <c r="D87" s="78" t="s">
        <v>14</v>
      </c>
      <c r="E87" s="248" t="s">
        <v>15</v>
      </c>
      <c r="F87" s="249"/>
      <c r="G87" s="46"/>
    </row>
    <row r="88" spans="1:7" s="52" customFormat="1" ht="108" customHeight="1" x14ac:dyDescent="0.3">
      <c r="A88" s="48" t="s">
        <v>117</v>
      </c>
      <c r="B88" s="49">
        <v>20</v>
      </c>
      <c r="C88" s="152" t="str">
        <f xml:space="preserve"> IF(B88="","",setValueToTime(B88))</f>
        <v>1h40min</v>
      </c>
      <c r="D88" s="165" t="s">
        <v>177</v>
      </c>
      <c r="E88" s="245" t="s">
        <v>178</v>
      </c>
      <c r="F88" s="238"/>
      <c r="G88" s="51"/>
    </row>
    <row r="89" spans="1:7" s="52" customFormat="1" ht="27" x14ac:dyDescent="0.3">
      <c r="A89" s="53" t="s">
        <v>110</v>
      </c>
      <c r="B89" s="54">
        <v>14</v>
      </c>
      <c r="C89" s="153" t="str">
        <f t="shared" ref="C89:C95" si="7" xml:space="preserve"> IF(B89="","",setValueToTime(B89))</f>
        <v>1h10min</v>
      </c>
      <c r="D89" s="166" t="s">
        <v>180</v>
      </c>
      <c r="E89" s="243"/>
      <c r="F89" s="244"/>
      <c r="G89" s="51"/>
    </row>
    <row r="90" spans="1:7" s="52" customFormat="1" ht="27" x14ac:dyDescent="0.3">
      <c r="A90" s="53" t="s">
        <v>89</v>
      </c>
      <c r="B90" s="54">
        <v>3</v>
      </c>
      <c r="C90" s="153" t="str">
        <f t="shared" si="7"/>
        <v>0h15min</v>
      </c>
      <c r="D90" s="166" t="s">
        <v>179</v>
      </c>
      <c r="E90" s="243"/>
      <c r="F90" s="244"/>
      <c r="G90" s="51"/>
    </row>
    <row r="91" spans="1:7" s="52" customFormat="1" ht="27" x14ac:dyDescent="0.3">
      <c r="A91" s="53" t="s">
        <v>93</v>
      </c>
      <c r="B91" s="54">
        <v>1</v>
      </c>
      <c r="C91" s="153" t="str">
        <f t="shared" si="7"/>
        <v>0h5min</v>
      </c>
      <c r="D91" s="166" t="s">
        <v>91</v>
      </c>
      <c r="E91" s="243"/>
      <c r="F91" s="244"/>
      <c r="G91" s="51"/>
    </row>
    <row r="92" spans="1:7" s="52" customFormat="1" x14ac:dyDescent="0.3">
      <c r="A92" s="54"/>
      <c r="B92" s="54"/>
      <c r="C92" s="154" t="str">
        <f t="shared" si="7"/>
        <v/>
      </c>
      <c r="D92" s="55"/>
      <c r="E92" s="243"/>
      <c r="F92" s="244"/>
      <c r="G92" s="51"/>
    </row>
    <row r="93" spans="1:7" s="52" customFormat="1" x14ac:dyDescent="0.3">
      <c r="A93" s="54"/>
      <c r="B93" s="54"/>
      <c r="C93" s="154" t="str">
        <f t="shared" si="7"/>
        <v/>
      </c>
      <c r="D93" s="55"/>
      <c r="E93" s="243"/>
      <c r="F93" s="244"/>
      <c r="G93" s="51"/>
    </row>
    <row r="94" spans="1:7" s="52" customFormat="1" x14ac:dyDescent="0.3">
      <c r="A94" s="54"/>
      <c r="B94" s="54"/>
      <c r="C94" s="154" t="str">
        <f t="shared" si="7"/>
        <v/>
      </c>
      <c r="D94" s="55"/>
      <c r="E94" s="243"/>
      <c r="F94" s="244"/>
      <c r="G94" s="51"/>
    </row>
    <row r="95" spans="1:7" s="52" customFormat="1" ht="15" thickBot="1" x14ac:dyDescent="0.35">
      <c r="A95" s="56"/>
      <c r="B95" s="56"/>
      <c r="C95" s="155" t="str">
        <f t="shared" si="7"/>
        <v/>
      </c>
      <c r="D95" s="57"/>
      <c r="E95" s="241"/>
      <c r="F95" s="242"/>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5</v>
      </c>
      <c r="C98" s="164"/>
      <c r="D98" s="157" t="s">
        <v>16</v>
      </c>
      <c r="E98" s="158" t="s">
        <v>83</v>
      </c>
      <c r="F98" s="159" t="s">
        <v>44</v>
      </c>
      <c r="G98" s="46"/>
    </row>
    <row r="99" spans="1:7" s="47" customFormat="1" ht="30" customHeight="1" thickBot="1" x14ac:dyDescent="0.3">
      <c r="A99" s="78" t="s">
        <v>5</v>
      </c>
      <c r="B99" s="161" t="s">
        <v>39</v>
      </c>
      <c r="C99" s="160"/>
      <c r="D99" s="78" t="s">
        <v>14</v>
      </c>
      <c r="E99" s="248" t="s">
        <v>15</v>
      </c>
      <c r="F99" s="249"/>
      <c r="G99" s="46"/>
    </row>
    <row r="100" spans="1:7" s="52" customFormat="1" ht="40.5" x14ac:dyDescent="0.3">
      <c r="A100" s="48" t="s">
        <v>117</v>
      </c>
      <c r="B100" s="49">
        <v>33</v>
      </c>
      <c r="C100" s="152" t="str">
        <f xml:space="preserve"> IF(B100="","",setValueToTime(B100))</f>
        <v>2h45min</v>
      </c>
      <c r="D100" s="165" t="s">
        <v>174</v>
      </c>
      <c r="E100" s="250" t="s">
        <v>171</v>
      </c>
      <c r="F100" s="238"/>
      <c r="G100" s="51"/>
    </row>
    <row r="101" spans="1:7" s="52" customFormat="1" ht="27" x14ac:dyDescent="0.3">
      <c r="A101" s="53" t="s">
        <v>110</v>
      </c>
      <c r="B101" s="54">
        <v>4</v>
      </c>
      <c r="C101" s="153" t="str">
        <f t="shared" ref="C101:C107" si="8" xml:space="preserve"> IF(B101="","",setValueToTime(B101))</f>
        <v>0h20min</v>
      </c>
      <c r="D101" s="166" t="s">
        <v>175</v>
      </c>
      <c r="E101" s="243"/>
      <c r="F101" s="244"/>
      <c r="G101" s="51"/>
    </row>
    <row r="102" spans="1:7" s="52" customFormat="1" ht="27" x14ac:dyDescent="0.3">
      <c r="A102" s="53" t="s">
        <v>93</v>
      </c>
      <c r="B102" s="54">
        <v>1</v>
      </c>
      <c r="C102" s="153" t="str">
        <f t="shared" si="8"/>
        <v>0h5min</v>
      </c>
      <c r="D102" s="55" t="s">
        <v>173</v>
      </c>
      <c r="E102" s="243"/>
      <c r="F102" s="244"/>
      <c r="G102" s="51"/>
    </row>
    <row r="103" spans="1:7" s="52" customFormat="1" x14ac:dyDescent="0.3">
      <c r="A103" s="53"/>
      <c r="B103" s="54"/>
      <c r="C103" s="153" t="str">
        <f t="shared" si="8"/>
        <v/>
      </c>
      <c r="D103" s="55"/>
      <c r="E103" s="243"/>
      <c r="F103" s="244"/>
      <c r="G103" s="51"/>
    </row>
    <row r="104" spans="1:7" s="52" customFormat="1" x14ac:dyDescent="0.3">
      <c r="A104" s="54"/>
      <c r="B104" s="54"/>
      <c r="C104" s="154" t="str">
        <f t="shared" si="8"/>
        <v/>
      </c>
      <c r="D104" s="55"/>
      <c r="E104" s="243"/>
      <c r="F104" s="244"/>
      <c r="G104" s="51"/>
    </row>
    <row r="105" spans="1:7" s="52" customFormat="1" x14ac:dyDescent="0.3">
      <c r="A105" s="54"/>
      <c r="B105" s="54"/>
      <c r="C105" s="154" t="str">
        <f t="shared" si="8"/>
        <v/>
      </c>
      <c r="D105" s="55"/>
      <c r="E105" s="243"/>
      <c r="F105" s="244"/>
      <c r="G105" s="51"/>
    </row>
    <row r="106" spans="1:7" s="52" customFormat="1" x14ac:dyDescent="0.3">
      <c r="A106" s="54"/>
      <c r="B106" s="54"/>
      <c r="C106" s="154" t="str">
        <f t="shared" si="8"/>
        <v/>
      </c>
      <c r="D106" s="55"/>
      <c r="E106" s="243"/>
      <c r="F106" s="244"/>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28</v>
      </c>
      <c r="B108" s="83">
        <f>SUM(B100:B107)</f>
        <v>38</v>
      </c>
      <c r="C108" s="162" t="str">
        <f xml:space="preserve"> setValueToTime(B108)</f>
        <v>3h10min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4</v>
      </c>
      <c r="C110" s="164"/>
      <c r="D110" s="157" t="s">
        <v>16</v>
      </c>
      <c r="E110" s="158" t="s">
        <v>83</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ht="40.5" x14ac:dyDescent="0.3">
      <c r="A112" s="48" t="s">
        <v>102</v>
      </c>
      <c r="B112" s="49">
        <v>14</v>
      </c>
      <c r="C112" s="152" t="str">
        <f xml:space="preserve"> IF(B112="","",setValueToTime(B112))</f>
        <v>1h10min</v>
      </c>
      <c r="D112" s="165" t="s">
        <v>176</v>
      </c>
      <c r="E112" s="250" t="s">
        <v>167</v>
      </c>
      <c r="F112" s="238"/>
      <c r="G112" s="51"/>
    </row>
    <row r="113" spans="1:7" s="52" customFormat="1" ht="27" x14ac:dyDescent="0.3">
      <c r="A113" s="53" t="s">
        <v>110</v>
      </c>
      <c r="B113" s="54">
        <v>5</v>
      </c>
      <c r="C113" s="153" t="str">
        <f t="shared" ref="C113:C119" si="9" xml:space="preserve"> IF(B113="","",setValueToTime(B113))</f>
        <v>0h25min</v>
      </c>
      <c r="D113" s="166" t="s">
        <v>169</v>
      </c>
      <c r="E113" s="243"/>
      <c r="F113" s="244"/>
      <c r="G113" s="51"/>
    </row>
    <row r="114" spans="1:7" s="52" customFormat="1" ht="40.5" x14ac:dyDescent="0.3">
      <c r="A114" s="53" t="s">
        <v>117</v>
      </c>
      <c r="B114" s="54">
        <v>19</v>
      </c>
      <c r="C114" s="153" t="str">
        <f t="shared" si="9"/>
        <v>1h35min</v>
      </c>
      <c r="D114" s="166" t="s">
        <v>172</v>
      </c>
      <c r="E114" s="251" t="s">
        <v>170</v>
      </c>
      <c r="F114" s="244"/>
      <c r="G114" s="51"/>
    </row>
    <row r="115" spans="1:7" s="52" customFormat="1" x14ac:dyDescent="0.3">
      <c r="A115" s="53"/>
      <c r="B115" s="54"/>
      <c r="C115" s="153" t="str">
        <f t="shared" si="9"/>
        <v/>
      </c>
      <c r="D115" s="55"/>
      <c r="E115" s="243"/>
      <c r="F115" s="244"/>
      <c r="G115" s="51"/>
    </row>
    <row r="116" spans="1:7" s="52" customFormat="1" x14ac:dyDescent="0.3">
      <c r="A116" s="54"/>
      <c r="B116" s="54"/>
      <c r="C116" s="154" t="str">
        <f t="shared" si="9"/>
        <v/>
      </c>
      <c r="D116" s="55"/>
      <c r="E116" s="243"/>
      <c r="F116" s="244"/>
      <c r="G116" s="51"/>
    </row>
    <row r="117" spans="1:7" s="52" customFormat="1" x14ac:dyDescent="0.3">
      <c r="A117" s="54"/>
      <c r="B117" s="54"/>
      <c r="C117" s="154" t="str">
        <f t="shared" si="9"/>
        <v/>
      </c>
      <c r="D117" s="55"/>
      <c r="E117" s="243"/>
      <c r="F117" s="244"/>
      <c r="G117" s="51"/>
    </row>
    <row r="118" spans="1:7" s="52" customFormat="1" x14ac:dyDescent="0.3">
      <c r="A118" s="54"/>
      <c r="B118" s="54"/>
      <c r="C118" s="154" t="str">
        <f t="shared" si="9"/>
        <v/>
      </c>
      <c r="D118" s="55"/>
      <c r="E118" s="243"/>
      <c r="F118" s="244"/>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28</v>
      </c>
      <c r="B120" s="83">
        <f>SUM(B112:B119)</f>
        <v>38</v>
      </c>
      <c r="C120" s="162" t="str">
        <f xml:space="preserve"> setValueToTime(B120)</f>
        <v>3h10min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3</v>
      </c>
      <c r="C122" s="164"/>
      <c r="D122" s="157" t="s">
        <v>16</v>
      </c>
      <c r="E122" s="158" t="s">
        <v>85</v>
      </c>
      <c r="F122" s="159" t="s">
        <v>44</v>
      </c>
      <c r="G122" s="46"/>
    </row>
    <row r="123" spans="1:7" s="47" customFormat="1" ht="30" customHeight="1" thickBot="1" x14ac:dyDescent="0.3">
      <c r="A123" s="78" t="s">
        <v>5</v>
      </c>
      <c r="B123" s="161" t="s">
        <v>39</v>
      </c>
      <c r="C123" s="160"/>
      <c r="D123" s="78" t="s">
        <v>14</v>
      </c>
      <c r="E123" s="248" t="s">
        <v>15</v>
      </c>
      <c r="F123" s="249"/>
      <c r="G123" s="46"/>
    </row>
    <row r="124" spans="1:7" s="52" customFormat="1" ht="27" x14ac:dyDescent="0.3">
      <c r="A124" s="48" t="s">
        <v>97</v>
      </c>
      <c r="B124" s="49">
        <v>18</v>
      </c>
      <c r="C124" s="152" t="str">
        <f xml:space="preserve"> IF(B124="","",setValueToTime(B124))</f>
        <v>1h30min</v>
      </c>
      <c r="D124" s="165" t="s">
        <v>162</v>
      </c>
      <c r="E124" s="237"/>
      <c r="F124" s="238"/>
      <c r="G124" s="51"/>
    </row>
    <row r="125" spans="1:7" s="52" customFormat="1" ht="54" x14ac:dyDescent="0.3">
      <c r="A125" s="53" t="s">
        <v>111</v>
      </c>
      <c r="B125" s="54">
        <v>6</v>
      </c>
      <c r="C125" s="153" t="str">
        <f t="shared" ref="C125:C131" si="10" xml:space="preserve"> IF(B125="","",setValueToTime(B125))</f>
        <v>0h30min</v>
      </c>
      <c r="D125" s="166" t="s">
        <v>163</v>
      </c>
      <c r="E125" s="251" t="s">
        <v>168</v>
      </c>
      <c r="F125" s="244"/>
      <c r="G125" s="51"/>
    </row>
    <row r="126" spans="1:7" s="52" customFormat="1" ht="40.5" x14ac:dyDescent="0.3">
      <c r="A126" s="53" t="s">
        <v>103</v>
      </c>
      <c r="B126" s="54">
        <v>4</v>
      </c>
      <c r="C126" s="153" t="str">
        <f t="shared" si="10"/>
        <v>0h20min</v>
      </c>
      <c r="D126" s="166" t="s">
        <v>164</v>
      </c>
      <c r="E126" s="243"/>
      <c r="F126" s="244"/>
      <c r="G126" s="51"/>
    </row>
    <row r="127" spans="1:7" s="52" customFormat="1" ht="40.5" x14ac:dyDescent="0.3">
      <c r="A127" s="53" t="s">
        <v>100</v>
      </c>
      <c r="B127" s="54">
        <v>10</v>
      </c>
      <c r="C127" s="153" t="str">
        <f t="shared" si="10"/>
        <v>0h50min</v>
      </c>
      <c r="D127" s="166" t="s">
        <v>166</v>
      </c>
      <c r="E127" s="243"/>
      <c r="F127" s="244"/>
      <c r="G127" s="51"/>
    </row>
    <row r="128" spans="1:7" s="52" customFormat="1" x14ac:dyDescent="0.3">
      <c r="A128" s="54"/>
      <c r="B128" s="54"/>
      <c r="C128" s="154" t="str">
        <f t="shared" si="10"/>
        <v/>
      </c>
      <c r="D128" s="55"/>
      <c r="E128" s="243"/>
      <c r="F128" s="244"/>
      <c r="G128" s="51"/>
    </row>
    <row r="129" spans="1:7" s="52" customFormat="1" x14ac:dyDescent="0.3">
      <c r="A129" s="54"/>
      <c r="B129" s="54"/>
      <c r="C129" s="154" t="str">
        <f t="shared" si="10"/>
        <v/>
      </c>
      <c r="D129" s="55"/>
      <c r="E129" s="243"/>
      <c r="F129" s="244"/>
      <c r="G129" s="51"/>
    </row>
    <row r="130" spans="1:7" s="52" customFormat="1" x14ac:dyDescent="0.3">
      <c r="A130" s="54"/>
      <c r="B130" s="54"/>
      <c r="C130" s="154" t="str">
        <f t="shared" si="10"/>
        <v/>
      </c>
      <c r="D130" s="55"/>
      <c r="E130" s="243"/>
      <c r="F130" s="244"/>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2</v>
      </c>
      <c r="C134" s="164"/>
      <c r="D134" s="157" t="s">
        <v>16</v>
      </c>
      <c r="E134" s="158" t="s">
        <v>85</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ht="27" x14ac:dyDescent="0.3">
      <c r="A136" s="48" t="s">
        <v>97</v>
      </c>
      <c r="B136" s="49">
        <v>48</v>
      </c>
      <c r="C136" s="152" t="str">
        <f xml:space="preserve"> IF(B136="","",setValueToTime(B136))</f>
        <v>4h</v>
      </c>
      <c r="D136" s="165" t="s">
        <v>161</v>
      </c>
      <c r="E136" s="237"/>
      <c r="F136" s="238"/>
      <c r="G136" s="51"/>
    </row>
    <row r="137" spans="1:7" s="52" customFormat="1" x14ac:dyDescent="0.3">
      <c r="A137" s="53"/>
      <c r="B137" s="54"/>
      <c r="C137" s="153" t="str">
        <f t="shared" ref="C137:C143" si="11" xml:space="preserve"> IF(B137="","",setValueToTime(B137))</f>
        <v/>
      </c>
      <c r="D137" s="55"/>
      <c r="E137" s="243"/>
      <c r="F137" s="244"/>
      <c r="G137" s="51"/>
    </row>
    <row r="138" spans="1:7" s="52" customFormat="1" x14ac:dyDescent="0.3">
      <c r="A138" s="53"/>
      <c r="B138" s="54"/>
      <c r="C138" s="153" t="str">
        <f t="shared" si="11"/>
        <v/>
      </c>
      <c r="D138" s="55"/>
      <c r="E138" s="243"/>
      <c r="F138" s="244"/>
      <c r="G138" s="51"/>
    </row>
    <row r="139" spans="1:7" s="52" customFormat="1" x14ac:dyDescent="0.3">
      <c r="A139" s="53"/>
      <c r="B139" s="54"/>
      <c r="C139" s="153" t="str">
        <f t="shared" si="11"/>
        <v/>
      </c>
      <c r="D139" s="55"/>
      <c r="E139" s="243"/>
      <c r="F139" s="244"/>
      <c r="G139" s="51"/>
    </row>
    <row r="140" spans="1:7" s="52" customFormat="1" x14ac:dyDescent="0.3">
      <c r="A140" s="54"/>
      <c r="B140" s="54"/>
      <c r="C140" s="154" t="str">
        <f t="shared" si="11"/>
        <v/>
      </c>
      <c r="D140" s="55"/>
      <c r="E140" s="243"/>
      <c r="F140" s="244"/>
      <c r="G140" s="51"/>
    </row>
    <row r="141" spans="1:7" s="52" customFormat="1" x14ac:dyDescent="0.3">
      <c r="A141" s="54"/>
      <c r="B141" s="54"/>
      <c r="C141" s="154" t="str">
        <f t="shared" si="11"/>
        <v/>
      </c>
      <c r="D141" s="55"/>
      <c r="E141" s="243"/>
      <c r="F141" s="244"/>
      <c r="G141" s="51"/>
    </row>
    <row r="142" spans="1:7" s="52" customFormat="1" x14ac:dyDescent="0.3">
      <c r="A142" s="54"/>
      <c r="B142" s="54"/>
      <c r="C142" s="154" t="str">
        <f t="shared" si="11"/>
        <v/>
      </c>
      <c r="D142" s="55"/>
      <c r="E142" s="243"/>
      <c r="F142" s="244"/>
      <c r="G142" s="51"/>
    </row>
    <row r="143" spans="1:7" s="52" customFormat="1" ht="15" thickBot="1" x14ac:dyDescent="0.35">
      <c r="A143" s="56"/>
      <c r="B143" s="56"/>
      <c r="C143" s="155" t="str">
        <f t="shared" si="11"/>
        <v/>
      </c>
      <c r="D143" s="57"/>
      <c r="E143" s="241"/>
      <c r="F143" s="242"/>
      <c r="G143" s="51"/>
    </row>
    <row r="144" spans="1:7" s="52" customFormat="1" ht="15" thickBot="1" x14ac:dyDescent="0.35">
      <c r="A144" s="162" t="s">
        <v>28</v>
      </c>
      <c r="B144" s="83">
        <f>SUM(B136:B143)</f>
        <v>48</v>
      </c>
      <c r="C144" s="162" t="str">
        <f xml:space="preserve"> setValueToTime(B144)</f>
        <v>4h</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1</v>
      </c>
      <c r="C146" s="164"/>
      <c r="D146" s="157" t="s">
        <v>16</v>
      </c>
      <c r="E146" s="158" t="s">
        <v>86</v>
      </c>
      <c r="F146" s="159" t="s">
        <v>44</v>
      </c>
      <c r="G146" s="46"/>
    </row>
    <row r="147" spans="1:7" s="47" customFormat="1" ht="30" customHeight="1" thickBot="1" x14ac:dyDescent="0.3">
      <c r="A147" s="78" t="s">
        <v>5</v>
      </c>
      <c r="B147" s="161" t="s">
        <v>39</v>
      </c>
      <c r="C147" s="160"/>
      <c r="D147" s="78" t="s">
        <v>14</v>
      </c>
      <c r="E147" s="248" t="s">
        <v>15</v>
      </c>
      <c r="F147" s="249"/>
      <c r="G147" s="46"/>
    </row>
    <row r="148" spans="1:7" s="52" customFormat="1" ht="27" x14ac:dyDescent="0.3">
      <c r="A148" s="48" t="s">
        <v>89</v>
      </c>
      <c r="B148" s="49">
        <v>9</v>
      </c>
      <c r="C148" s="152" t="str">
        <f xml:space="preserve"> IF(B148="","",setValueToTime(B148))</f>
        <v>0h45min</v>
      </c>
      <c r="D148" s="165" t="s">
        <v>88</v>
      </c>
      <c r="E148" s="237"/>
      <c r="F148" s="238"/>
      <c r="G148" s="51"/>
    </row>
    <row r="149" spans="1:7" s="52" customFormat="1" ht="27" x14ac:dyDescent="0.3">
      <c r="A149" s="53" t="s">
        <v>43</v>
      </c>
      <c r="B149" s="54">
        <v>19</v>
      </c>
      <c r="C149" s="153" t="str">
        <f t="shared" ref="C149:C155" si="12" xml:space="preserve"> IF(B149="","",setValueToTime(B149))</f>
        <v>1h35min</v>
      </c>
      <c r="D149" s="166" t="s">
        <v>90</v>
      </c>
      <c r="E149" s="243"/>
      <c r="F149" s="244"/>
      <c r="G149" s="51"/>
    </row>
    <row r="150" spans="1:7" s="52" customFormat="1" x14ac:dyDescent="0.3">
      <c r="A150" s="53" t="s">
        <v>42</v>
      </c>
      <c r="B150" s="54">
        <v>7</v>
      </c>
      <c r="C150" s="153" t="str">
        <f t="shared" si="12"/>
        <v>0h35min</v>
      </c>
      <c r="D150" s="166" t="s">
        <v>92</v>
      </c>
      <c r="E150" s="243"/>
      <c r="F150" s="244"/>
      <c r="G150" s="51"/>
    </row>
    <row r="151" spans="1:7" s="52" customFormat="1" x14ac:dyDescent="0.3">
      <c r="A151" s="53" t="s">
        <v>87</v>
      </c>
      <c r="B151" s="54">
        <v>1</v>
      </c>
      <c r="C151" s="153" t="str">
        <f t="shared" si="12"/>
        <v>0h5min</v>
      </c>
      <c r="D151" s="166" t="s">
        <v>91</v>
      </c>
      <c r="E151" s="243"/>
      <c r="F151" s="244"/>
      <c r="G151" s="51"/>
    </row>
    <row r="152" spans="1:7" s="52" customFormat="1" x14ac:dyDescent="0.3">
      <c r="A152" s="54"/>
      <c r="B152" s="54"/>
      <c r="C152" s="154" t="str">
        <f t="shared" si="12"/>
        <v/>
      </c>
      <c r="D152" s="55"/>
      <c r="E152" s="243"/>
      <c r="F152" s="244"/>
      <c r="G152" s="51"/>
    </row>
    <row r="153" spans="1:7" s="52" customFormat="1" x14ac:dyDescent="0.3">
      <c r="A153" s="54"/>
      <c r="B153" s="54"/>
      <c r="C153" s="154" t="str">
        <f t="shared" si="12"/>
        <v/>
      </c>
      <c r="D153" s="55"/>
      <c r="E153" s="243"/>
      <c r="F153" s="244"/>
      <c r="G153" s="51"/>
    </row>
    <row r="154" spans="1:7" s="52" customFormat="1" x14ac:dyDescent="0.3">
      <c r="A154" s="54"/>
      <c r="B154" s="54"/>
      <c r="C154" s="154" t="str">
        <f t="shared" si="12"/>
        <v/>
      </c>
      <c r="D154" s="55"/>
      <c r="E154" s="243"/>
      <c r="F154" s="244"/>
      <c r="G154" s="51"/>
    </row>
    <row r="155" spans="1:7" s="52" customFormat="1" ht="15" thickBot="1" x14ac:dyDescent="0.35">
      <c r="A155" s="56"/>
      <c r="B155" s="56"/>
      <c r="C155" s="155" t="str">
        <f t="shared" si="12"/>
        <v/>
      </c>
      <c r="D155" s="57"/>
      <c r="E155" s="241"/>
      <c r="F155" s="242"/>
      <c r="G155" s="51"/>
    </row>
    <row r="156" spans="1:7" s="52" customFormat="1" ht="15" thickBot="1" x14ac:dyDescent="0.35">
      <c r="A156" s="162" t="s">
        <v>28</v>
      </c>
      <c r="B156" s="83">
        <f>SUM(B148:B155)</f>
        <v>36</v>
      </c>
      <c r="C156" s="162" t="str">
        <f xml:space="preserve"> setValueToTime(B156)</f>
        <v>3h</v>
      </c>
      <c r="D156" s="121"/>
      <c r="E156" s="246"/>
      <c r="F156" s="247"/>
      <c r="G156" s="51"/>
    </row>
    <row r="157" spans="1:7" s="59" customFormat="1" x14ac:dyDescent="0.3">
      <c r="A157" s="77"/>
      <c r="B157" s="77"/>
      <c r="C157" s="77"/>
      <c r="D157" s="77"/>
      <c r="E157" s="77"/>
      <c r="F157" s="77"/>
      <c r="G157" s="58"/>
    </row>
  </sheetData>
  <sheetProtection formatRows="0" insertRows="0" insertHyperlinks="0" deleteRows="0" selectLockedCells="1"/>
  <mergeCells count="130">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92:F92"/>
    <mergeCell ref="E93:F93"/>
    <mergeCell ref="E94:F94"/>
    <mergeCell ref="E95:F95"/>
    <mergeCell ref="E96:F96"/>
    <mergeCell ref="E87:F87"/>
    <mergeCell ref="E88:F88"/>
    <mergeCell ref="E89:F89"/>
    <mergeCell ref="E90:F90"/>
    <mergeCell ref="E91:F91"/>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3:F153"/>
    <mergeCell ref="E154:F154"/>
    <mergeCell ref="E155:F155"/>
    <mergeCell ref="E156:F156"/>
    <mergeCell ref="E147:F147"/>
    <mergeCell ref="E148:F148"/>
    <mergeCell ref="E149:F149"/>
    <mergeCell ref="E150:F150"/>
    <mergeCell ref="E151:F151"/>
    <mergeCell ref="E152:F152"/>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156">
    <cfRule type="cellIs" dxfId="14" priority="15"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list" allowBlank="1" showInputMessage="1" showErrorMessage="1" sqref="A148:A155 A136:A143 A124:A131 A112:A119 A100:A107 A88:A95 A76:A83 A64:A71 A52:A59 A40:A47 A28:A35 A16:A23 A4:A11">
      <formula1>ListeTaches</formula1>
    </dataValidation>
  </dataValidations>
  <hyperlinks>
    <hyperlink ref="E112" r:id="rId1"/>
    <hyperlink ref="E125" r:id="rId2"/>
    <hyperlink ref="E114" r:id="rId3"/>
    <hyperlink ref="E100" r:id="rId4"/>
    <hyperlink ref="E76" r:id="rId5"/>
    <hyperlink ref="E78" r:id="rId6"/>
    <hyperlink ref="E64"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13</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5" t="s">
        <v>15</v>
      </c>
      <c r="F2" s="236"/>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11" t="s">
        <v>28</v>
      </c>
      <c r="B11" s="84">
        <f>SUM(B3:B10)</f>
        <v>0</v>
      </c>
      <c r="C11" s="111" t="str">
        <f xml:space="preserve"> setValueToTime(B11)</f>
        <v>0h</v>
      </c>
      <c r="D11" s="120"/>
      <c r="E11" s="239"/>
      <c r="F11" s="24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2021-05-10T09:25:39Z</dcterms:modified>
</cp:coreProperties>
</file>