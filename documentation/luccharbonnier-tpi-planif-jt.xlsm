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F:\data\PROJETS\projets-ETML\luccharbonnier-TPI-2021\documentation\"/>
    </mc:Choice>
  </mc:AlternateContent>
  <xr:revisionPtr revIDLastSave="0" documentId="13_ncr:1_{9321FAEF-B16F-42D2-B399-D1F14BDCCDA8}" xr6:coauthVersionLast="45" xr6:coauthVersionMax="46" xr10:uidLastSave="{00000000-0000-0000-0000-000000000000}"/>
  <bookViews>
    <workbookView xWindow="-120" yWindow="-120" windowWidth="386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2" l="1"/>
  <c r="C7" i="12"/>
  <c r="C6" i="12"/>
  <c r="B24" i="12"/>
  <c r="C23" i="12"/>
  <c r="C22" i="12"/>
  <c r="C21" i="12"/>
  <c r="C20" i="12"/>
  <c r="C19" i="12"/>
  <c r="C18" i="12"/>
  <c r="C11" i="12"/>
  <c r="C17" i="12"/>
  <c r="C16" i="12"/>
  <c r="C24" i="12"/>
  <c r="C12" i="12"/>
  <c r="C5" i="12"/>
  <c r="C8" i="12"/>
  <c r="C4" i="12"/>
  <c r="C10" i="12"/>
  <c r="C9" i="12"/>
  <c r="B36" i="12" l="1"/>
  <c r="C35" i="12"/>
  <c r="C34" i="12"/>
  <c r="C33" i="12"/>
  <c r="C32" i="12"/>
  <c r="C31" i="12"/>
  <c r="B48" i="12"/>
  <c r="C47" i="12"/>
  <c r="C46" i="12"/>
  <c r="C45" i="12"/>
  <c r="C44" i="12"/>
  <c r="C43" i="12"/>
  <c r="C42" i="12"/>
  <c r="C30" i="12"/>
  <c r="C29" i="12"/>
  <c r="C36" i="12"/>
  <c r="C48" i="12"/>
  <c r="C41" i="12"/>
  <c r="C28" i="12"/>
  <c r="C40" i="12"/>
  <c r="B60" i="12" l="1"/>
  <c r="C59" i="12"/>
  <c r="C58" i="12"/>
  <c r="C57" i="12"/>
  <c r="C52" i="12"/>
  <c r="C54" i="12"/>
  <c r="C53" i="12"/>
  <c r="C60" i="12"/>
  <c r="C55" i="12"/>
  <c r="C56" i="12"/>
  <c r="B72" i="12" l="1"/>
  <c r="C71" i="12"/>
  <c r="C70" i="12"/>
  <c r="C69" i="12"/>
  <c r="C68" i="12"/>
  <c r="C67" i="12"/>
  <c r="C66" i="12"/>
  <c r="C65" i="12"/>
  <c r="C72" i="12"/>
  <c r="C64" i="12"/>
  <c r="B84" i="12" l="1"/>
  <c r="C83" i="12"/>
  <c r="C82" i="12"/>
  <c r="C81" i="12"/>
  <c r="C80" i="12"/>
  <c r="C79" i="12"/>
  <c r="C78" i="12"/>
  <c r="B96" i="12"/>
  <c r="C95" i="12"/>
  <c r="C94" i="12"/>
  <c r="C93" i="12"/>
  <c r="C92" i="12"/>
  <c r="C91" i="12"/>
  <c r="C90" i="12"/>
  <c r="C96" i="12"/>
  <c r="C77" i="12"/>
  <c r="C89" i="12"/>
  <c r="C84" i="12"/>
  <c r="C88" i="12"/>
  <c r="C76" i="12"/>
  <c r="B108" i="12" l="1"/>
  <c r="C107" i="12"/>
  <c r="C106" i="12"/>
  <c r="C105" i="12"/>
  <c r="C104" i="12"/>
  <c r="C103" i="12"/>
  <c r="C102" i="12"/>
  <c r="C108" i="12"/>
  <c r="C101" i="12"/>
  <c r="C100" i="12"/>
  <c r="B120" i="12" l="1"/>
  <c r="C119" i="12"/>
  <c r="C118" i="12"/>
  <c r="C117" i="12"/>
  <c r="C116" i="12"/>
  <c r="B132" i="12"/>
  <c r="C131" i="12"/>
  <c r="C130" i="12"/>
  <c r="C129" i="12"/>
  <c r="C128" i="12"/>
  <c r="C127" i="12"/>
  <c r="C124" i="12"/>
  <c r="C112" i="12"/>
  <c r="C120" i="12"/>
  <c r="C132" i="12"/>
  <c r="C115" i="12"/>
  <c r="C125" i="12"/>
  <c r="C113" i="12"/>
  <c r="C114" i="12"/>
  <c r="C126" i="12"/>
  <c r="B144" i="12" l="1"/>
  <c r="C143" i="12"/>
  <c r="C142" i="12"/>
  <c r="C141" i="12"/>
  <c r="C140" i="12"/>
  <c r="B156" i="12"/>
  <c r="C155" i="12"/>
  <c r="C154" i="12"/>
  <c r="C153" i="12"/>
  <c r="C152" i="12"/>
  <c r="C151" i="12"/>
  <c r="C150" i="12"/>
  <c r="C149" i="12"/>
  <c r="B168" i="12"/>
  <c r="C167" i="12"/>
  <c r="C166" i="12"/>
  <c r="C165" i="12"/>
  <c r="C164" i="12"/>
  <c r="C163" i="12"/>
  <c r="C162" i="12"/>
  <c r="C161" i="12"/>
  <c r="C148" i="12"/>
  <c r="C160" i="12"/>
  <c r="C136" i="12"/>
  <c r="C138" i="12"/>
  <c r="C156" i="12"/>
  <c r="C144" i="12"/>
  <c r="C137" i="12"/>
  <c r="C168" i="12"/>
  <c r="C139" i="12"/>
  <c r="B180" i="12" l="1"/>
  <c r="C179" i="12"/>
  <c r="C178" i="12"/>
  <c r="C177" i="12"/>
  <c r="C176" i="12"/>
  <c r="C175" i="12"/>
  <c r="C174" i="12"/>
  <c r="B192" i="12"/>
  <c r="C191" i="12"/>
  <c r="C190" i="12"/>
  <c r="C189" i="12"/>
  <c r="C188" i="12"/>
  <c r="C192" i="12"/>
  <c r="C185" i="12"/>
  <c r="C173" i="12"/>
  <c r="C184" i="12"/>
  <c r="C180" i="12"/>
  <c r="C172" i="12"/>
  <c r="C186" i="12"/>
  <c r="C187" i="12"/>
  <c r="B204" i="12" l="1"/>
  <c r="C203" i="12"/>
  <c r="C202" i="12"/>
  <c r="C201" i="12"/>
  <c r="C200" i="12"/>
  <c r="C196" i="12"/>
  <c r="C204" i="12"/>
  <c r="C198" i="12"/>
  <c r="C197" i="12"/>
  <c r="C199" i="12"/>
  <c r="B216" i="12" l="1"/>
  <c r="C215" i="12"/>
  <c r="C214" i="12"/>
  <c r="C213" i="12"/>
  <c r="C212" i="12"/>
  <c r="C211" i="12"/>
  <c r="B228" i="12"/>
  <c r="C227" i="12"/>
  <c r="C226" i="12"/>
  <c r="C225" i="12"/>
  <c r="C224" i="12"/>
  <c r="C223" i="12"/>
  <c r="C221" i="12"/>
  <c r="C220" i="12"/>
  <c r="C208" i="12"/>
  <c r="C216" i="12"/>
  <c r="C222" i="12"/>
  <c r="C209" i="12"/>
  <c r="C210" i="12"/>
  <c r="C228" i="12"/>
  <c r="B240" i="12" l="1"/>
  <c r="C239" i="12"/>
  <c r="C238" i="12"/>
  <c r="C237" i="12"/>
  <c r="C236" i="12"/>
  <c r="B252" i="12"/>
  <c r="C251" i="12"/>
  <c r="C250" i="12"/>
  <c r="C249" i="12"/>
  <c r="C248" i="12"/>
  <c r="C247" i="12"/>
  <c r="C246" i="12"/>
  <c r="C245" i="12"/>
  <c r="E95" i="1"/>
  <c r="C234" i="12"/>
  <c r="C233" i="12"/>
  <c r="C71" i="10"/>
  <c r="C155" i="10"/>
  <c r="C240" i="12"/>
  <c r="C235" i="12"/>
  <c r="C252" i="12"/>
  <c r="C232" i="12"/>
  <c r="C244" i="12"/>
  <c r="B264" i="12" l="1"/>
  <c r="C263" i="12"/>
  <c r="C262" i="12"/>
  <c r="C261" i="12"/>
  <c r="C260"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258" i="12"/>
  <c r="C4" i="10"/>
  <c r="C257" i="12"/>
  <c r="C153" i="10"/>
  <c r="C256" i="12"/>
  <c r="C48" i="10"/>
  <c r="C102" i="10"/>
  <c r="C11" i="10"/>
  <c r="C80" i="10"/>
  <c r="C106" i="10"/>
  <c r="C130" i="10"/>
  <c r="C78" i="10"/>
  <c r="C60" i="10"/>
  <c r="C39" i="10"/>
  <c r="C67" i="10"/>
  <c r="C128" i="10"/>
  <c r="C93" i="10"/>
  <c r="C58" i="10"/>
  <c r="C16" i="10"/>
  <c r="C162" i="10"/>
  <c r="C118" i="10"/>
  <c r="C59" i="10"/>
  <c r="C264" i="12"/>
  <c r="C9" i="10"/>
  <c r="C17" i="10"/>
  <c r="C123" i="10"/>
  <c r="C107" i="10"/>
  <c r="C166" i="10"/>
  <c r="C10" i="10"/>
  <c r="C148" i="10"/>
  <c r="C87" i="10"/>
  <c r="C64" i="10"/>
  <c r="C141" i="10"/>
  <c r="C86" i="10"/>
  <c r="C154" i="10"/>
  <c r="C168" i="10"/>
  <c r="C42" i="10"/>
  <c r="C134" i="10"/>
  <c r="C27" i="10"/>
  <c r="C99" i="10"/>
  <c r="C142" i="10"/>
  <c r="C146" i="10"/>
  <c r="C113" i="10"/>
  <c r="C85" i="10"/>
  <c r="C74" i="10"/>
  <c r="C72" i="10"/>
  <c r="C94" i="10"/>
  <c r="C54" i="10"/>
  <c r="C40" i="10"/>
  <c r="C65" i="10"/>
  <c r="C100" i="10"/>
  <c r="C122" i="10"/>
  <c r="C147" i="10"/>
  <c r="C152" i="10"/>
  <c r="C53" i="10"/>
  <c r="C81" i="10"/>
  <c r="C15" i="10"/>
  <c r="C108" i="10"/>
  <c r="C136" i="10"/>
  <c r="C66" i="10"/>
  <c r="C259" i="12"/>
  <c r="C135" i="10"/>
  <c r="C98" i="10"/>
  <c r="C22" i="10"/>
  <c r="C41" i="10"/>
  <c r="C112" i="10"/>
  <c r="C160" i="10"/>
  <c r="C47" i="10"/>
  <c r="C129" i="10"/>
  <c r="C35" i="10"/>
  <c r="C5" i="10"/>
  <c r="C46" i="10"/>
  <c r="C92" i="10"/>
  <c r="C52" i="10"/>
  <c r="C161" i="10"/>
  <c r="C117" i="10"/>
  <c r="C28" i="10"/>
  <c r="C34" i="10"/>
  <c r="C79" i="10"/>
  <c r="C156" i="10"/>
  <c r="C21" i="10"/>
  <c r="C73" i="10"/>
  <c r="C101" i="10"/>
  <c r="C88" i="10"/>
  <c r="C29" i="10"/>
  <c r="C124" i="10"/>
  <c r="C140" i="10"/>
  <c r="C167" i="10"/>
  <c r="C23" i="10"/>
  <c r="C33" i="10"/>
  <c r="C10" i="15" l="1"/>
  <c r="C9" i="15"/>
  <c r="C8" i="15"/>
  <c r="C7" i="15"/>
  <c r="C6" i="15"/>
  <c r="C5" i="15"/>
  <c r="C4" i="15"/>
  <c r="C3" i="15"/>
  <c r="B11" i="15"/>
  <c r="C10" i="16"/>
  <c r="C9" i="16"/>
  <c r="C8" i="16"/>
  <c r="C7" i="16"/>
  <c r="C6" i="16"/>
  <c r="C5" i="16"/>
  <c r="C4" i="16"/>
  <c r="C3" i="16"/>
  <c r="B11" i="16"/>
  <c r="D53" i="1"/>
  <c r="D38" i="1"/>
  <c r="D29" i="1"/>
  <c r="D67" i="1"/>
  <c r="D52" i="1"/>
  <c r="C11" i="15"/>
  <c r="D50" i="1"/>
  <c r="C11" i="16"/>
  <c r="D80" i="1"/>
  <c r="D93" i="1"/>
  <c r="D91" i="1"/>
  <c r="D76" i="1"/>
  <c r="D87" i="1"/>
  <c r="D72" i="1"/>
  <c r="D21" i="1"/>
  <c r="D36" i="1"/>
  <c r="D35" i="1"/>
  <c r="D17" i="1"/>
  <c r="D78" i="1"/>
  <c r="D63" i="1"/>
  <c r="D94" i="1"/>
  <c r="D59" i="1"/>
  <c r="D55" i="1"/>
  <c r="D70" i="1"/>
  <c r="D56" i="1"/>
  <c r="D33" i="1"/>
  <c r="D31" i="1"/>
  <c r="D27" i="1"/>
  <c r="D83" i="1"/>
  <c r="D82" i="1"/>
  <c r="D40" i="1"/>
  <c r="D88" i="1"/>
  <c r="D37" i="1"/>
  <c r="D22" i="1"/>
  <c r="D46" i="1"/>
  <c r="D51" i="1"/>
  <c r="D20" i="1"/>
  <c r="D81" i="1"/>
  <c r="D32" i="1"/>
  <c r="D79" i="1"/>
  <c r="D64" i="1"/>
  <c r="D77" i="1"/>
  <c r="D75" i="1"/>
  <c r="D60" i="1"/>
  <c r="D71" i="1"/>
  <c r="D24" i="1"/>
  <c r="D90" i="1"/>
  <c r="D65" i="1"/>
  <c r="D48" i="1"/>
  <c r="D44" i="1"/>
  <c r="D85" i="1"/>
  <c r="D61" i="1"/>
  <c r="D62" i="1"/>
  <c r="D42" i="1"/>
  <c r="D68" i="1"/>
  <c r="D26" i="1"/>
  <c r="D57" i="1"/>
  <c r="D89" i="1"/>
  <c r="D86" i="1"/>
  <c r="D66" i="1"/>
  <c r="D58" i="1"/>
  <c r="D19" i="1"/>
  <c r="D34" i="1"/>
  <c r="D49" i="1"/>
  <c r="D30" i="1"/>
  <c r="D47" i="1"/>
  <c r="D45" i="1"/>
  <c r="D28" i="1"/>
  <c r="D43" i="1"/>
  <c r="D25" i="1"/>
  <c r="D39" i="1"/>
  <c r="D18" i="1"/>
  <c r="D84" i="1"/>
  <c r="D41" i="1"/>
  <c r="D74" i="1"/>
  <c r="D23" i="1"/>
  <c r="D69" i="1"/>
  <c r="D54" i="1"/>
  <c r="D16" i="1"/>
  <c r="D73" i="1"/>
  <c r="D15" i="1"/>
  <c r="D92"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<sst xmlns="http://schemas.openxmlformats.org/spreadsheetml/2006/main" count="1170" uniqueCount="229">
  <si>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</si>
  <si>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</si>
  <si>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</si>
  <si>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</si>
  <si>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</si>
  <si>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</si>
  <si>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</si>
  <si>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</si>
  <si>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</si>
  <si>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</si>
  <si>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</si>
  <si>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</si>
  <si>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</si>
  <si>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</si>
  <si>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</si>
  <si>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</si>
  <si>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</si>
  <si>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</si>
  <si>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</si>
  <si>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</si>
  <si>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</si>
  <si>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</si>
  <si>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</si>
  <si>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</si>
  <si>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</si>
  <si>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</si>
  <si>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</si>
  <si>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</si>
  <si>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</si>
  <si>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</si>
  <si>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</si>
  <si>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</si>
  <si>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</si>
  <si>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</si>
  <si>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</si>
  <si>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</si>
  <si>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</si>
  <si>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</si>
  <si>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</si>
  <si>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</si>
  <si>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</si>
  <si>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</si>
  <si>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</si>
  <si>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</si>
  <si>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</si>
  <si>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</si>
  <si>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</si>
  <si>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</si>
  <si>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</si>
  <si>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</si>
  <si>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</si>
  <si>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</si>
  <si>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</si>
  <si>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</si>
  <si>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</si>
  <si>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</si>
  <si>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</si>
  <si>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</si>
  <si>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</si>
  <si>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</si>
  <si>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</si>
  <si>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</si>
  <si>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</si>
  <si>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</si>
  <si>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</si>
  <si>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</si>
  <si>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</si>
  <si>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</si>
  <si>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</si>
  <si>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</si>
  <si>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</si>
  <si>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</si>
  <si>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</si>
  <si>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</si>
  <si>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</si>
  <si>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</si>
  <si>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</si>
  <si>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</si>
  <si>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</si>
  <si>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</si>
  <si>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</si>
  <si>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</si>
  <si>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</si>
  <si>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</si>
  <si>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</si>
  <si>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</si>
  <si>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</si>
  <si>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</si>
  <si>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</si>
  <si>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</si>
  <si>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</si>
  <si>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</si>
  <si>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</si>
  <si>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</si>
  <si>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</si>
  <si>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</si>
  <si>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</si>
  <si>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</si>
  <si>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</si>
  <si>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</si>
  <si>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</si>
  <si>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</si>
  <si>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</si>
  <si>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</si>
  <si>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</si>
  <si>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</si>
  <si>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</si>
  <si>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</si>
  <si>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</si>
  <si>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</si>
  <si>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</si>
  <si>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</si>
  <si>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</si>
  <si>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</si>
  <si>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</si>
  <si>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</si>
  <si>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</si>
  <si>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</si>
  <si>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</si>
  <si>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</si>
  <si>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</si>
  <si>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</si>
  <si>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</si>
  <si>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</si>
  <si>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</si>
  <si>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</si>
  <si>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</si>
  <si>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</si>
  <si>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</si>
  <si>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</si>
  <si>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</si>
  <si>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</si>
  <si>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</si>
  <si>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</si>
  <si>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</si>
  <si>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</si>
  <si>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</si>
  <si>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</si>
  <si>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</si>
  <si>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</si>
  <si>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</si>
  <si>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</si>
  <si>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</si>
  <si>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</si>
  <si>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</si>
  <si>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</si>
  <si>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</si>
  <si>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</si>
  <si>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</si>
  <si>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</si>
  <si>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</si>
  <si>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</si>
  <si>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</si>
  <si>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</si>
  <si>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</si>
  <si>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</si>
  <si>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</si>
  <si>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</si>
  <si>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</si>
  <si>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</si>
  <si>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</si>
  <si>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</si>
  <si>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</si>
  <si>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</si>
  <si>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</si>
  <si>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</si>
  <si>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</si>
  <si>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</si>
  <si>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</si>
  <si>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</si>
  <si>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</si>
  <si>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</si>
  <si>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</si>
  <si>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</si>
  <si>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</si>
  <si>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</si>
  <si>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</si>
  <si>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</si>
  <si>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</si>
  <si>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</si>
  <si>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</si>
  <si>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</si>
  <si>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</si>
  <si>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</si>
  <si>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</si>
  <si>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</si>
  <si>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</si>
  <si>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</si>
  <si>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</si>
  <si>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</si>
  <si>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</si>
  <si>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</si>
  <si>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</si>
  <si>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</si>
  <si>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</si>
  <si>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</si>
  <si>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</si>
  <si>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</si>
  <si>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</si>
  <si>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</si>
  <si>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</si>
  <si>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</si>
  <si>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</si>
  <si>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</si>
  <si>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</si>
  <si>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</si>
  <si>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</si>
  <si>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</si>
  <si>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</si>
  <si>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</si>
  <si>
    <t>Attente car classe pas ouverte</t>
  </si>
  <si>
    <t>Je suis retourné sur la conception des formules pour le calcul de l'accélération subie par le projectile en fonction de la vitesse et de l'intensité du vent car j'ai remarqué qu'il y avait une erreur.</t>
  </si>
  <si>
    <t xml:space="preserve">Implémenté le vent dans la simulation de balistique. Pour l'instant, le vecteur du vent est en dur dans le code mais le calcul du frottement fonctionne. Ça a fonctionné du premier coup.
</t>
  </si>
  <si>
    <t>Implémenté une classe flèche qui me sera utile pour afficher la direction et l'intensité du vent dans la simulation de balistique.</t>
  </si>
  <si>
    <t>Terminer d'implémenter le widget permettant de sélectionner la direction et l'intensité du vent (voir screen à droite).
Son fonctionnement est très simple. La base de la flèche est fixée au centre du cercle mais l'on peut utiliser la souris pour changer la position du bout de la flèche. L'intensité du vent sera proportionnelle à la taille de la flèche. Évidemment, la direction du vent sera la même que celle de la flèche.
Ce widget permet d'orienter le vent dans toutes les directions. Il est donc par exemple possible que le vent aille vers le haut, ce qui aura pour effet de ralentir le projectile dans sa chute.</t>
  </si>
  <si>
    <t xml:space="preserve">Réunion avec M. Carrel pour faire le point sur l'avancement du projet. </t>
  </si>
  <si>
    <t>Continué la réalisation</t>
  </si>
  <si>
    <t>Continué de documenter la réalisation</t>
  </si>
  <si>
    <t>Rempli le JT pour la journée entière</t>
  </si>
  <si>
    <t>Rendu intermédiaire : création des GIFs et envoi du mail aux experts.</t>
  </si>
  <si>
    <t>Commenté toutes les classes, leurs membres ainsi que les fonctions libres de l'application. Seuls les fichier d'en-tête (.h) contiennent des commentaires, le but étant d'expliquer la manière dont ces classes fonctionnent et de détailler leur interface publique et privée.</t>
  </si>
  <si>
    <t>Écrits les différents tests et effectué ceux-ci</t>
  </si>
  <si>
    <t>Continué de rédiger la partie "réalisation" du rapport</t>
  </si>
  <si>
    <t>Expliqué comment la compatibilité 32 et 64 bits sera assurée (voir section "5.12 Création d’un installateur pour déployer l’application" rapport).</t>
  </si>
  <si>
    <t>Créé et testé l'installateur sur une machine virtuelle 32 bits</t>
  </si>
  <si>
    <t>Étant donné que l'installateur doit pouvoir être lancé sur une machine 32 bits comme sur une machine 64 bits, j'ai décidé de changer la version de la sfml liée au projet pour que le projet soit compilé en 32 bits et ainsi de n'avoir qu'une seule version de l'installateur.</t>
  </si>
  <si>
    <t>Le tutoriel suivant m'a aidé à créer l'installateur : https://gaby277.developpez.com/Tutoriels/VisualStudioInstallerProject/</t>
  </si>
  <si>
    <t>Ci-dessous, le travail effectué durant le week-end du 22-24 mai 2021 :</t>
  </si>
  <si>
    <t>Mieux détaillé les tests et rédigé l'abstract en début de document + d'autres détails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</si>
</sst>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2" fillId="19" borderId="20"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123</xdr:row>
      <xdr:rowOff>76200</xdr:rowOff>
    </xdr:from>
    <xdr:to>
      <xdr:col>5</xdr:col>
      <xdr:colOff>963135</xdr:colOff>
      <xdr:row>127</xdr:row>
      <xdr:rowOff>106853</xdr:rowOff>
    </xdr:to>
    <xdr:pic>
      <xdr:nvPicPr>
        <xdr:cNvPr id="12" name="Imag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twoCellAnchor editAs="oneCell">
    <xdr:from>
      <xdr:col>4</xdr:col>
      <xdr:colOff>390525</xdr:colOff>
      <xdr:row>39</xdr:row>
      <xdr:rowOff>200024</xdr:rowOff>
    </xdr:from>
    <xdr:to>
      <xdr:col>5</xdr:col>
      <xdr:colOff>941743</xdr:colOff>
      <xdr:row>46</xdr:row>
      <xdr:rowOff>57149</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29700" y="1590674"/>
          <a:ext cx="2560993" cy="23145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31</v>
      </c>
      <c r="C35" s="202"/>
      <c r="D35" s="202"/>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32</v>
      </c>
      <c r="C37" s="203"/>
      <c r="D37" s="203"/>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C99"/>
  <sheetViews>
    <sheetView showGridLines="0" topLeftCell="APD1" zoomScale="70" zoomScaleNormal="70"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34" t="s">
        <v>30</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6" t="str">
        <f>E96</f>
        <v>90h</v>
      </c>
      <c r="H9" s="226"/>
      <c r="I9" s="226"/>
      <c r="J9" s="226"/>
      <c r="K9" s="226"/>
      <c r="L9" s="226"/>
      <c r="M9" s="226"/>
      <c r="N9" s="226"/>
      <c r="O9" s="226"/>
      <c r="P9" s="226"/>
      <c r="Q9" s="226"/>
      <c r="R9" s="226"/>
      <c r="S9" s="226"/>
      <c r="T9" s="226"/>
      <c r="U9" s="226"/>
      <c r="V9" s="119"/>
      <c r="W9" s="233" t="s">
        <v>22</v>
      </c>
      <c r="X9" s="233"/>
      <c r="Y9" s="233"/>
      <c r="Z9" s="233"/>
      <c r="AA9" s="233"/>
      <c r="AB9" s="233"/>
      <c r="AC9" s="233"/>
      <c r="AD9" s="233"/>
      <c r="AE9" s="233"/>
      <c r="AF9" s="233"/>
      <c r="AG9" s="233"/>
      <c r="AH9" s="226" t="str">
        <f>E98</f>
        <v>75h5min</v>
      </c>
      <c r="AI9" s="226"/>
      <c r="AJ9" s="226"/>
      <c r="AK9" s="226"/>
      <c r="AL9" s="226"/>
      <c r="AM9" s="226"/>
      <c r="AN9" s="226"/>
      <c r="AO9" s="226"/>
      <c r="AP9" s="226"/>
      <c r="AQ9" s="226"/>
      <c r="AR9" s="226"/>
      <c r="AS9" s="226"/>
      <c r="AT9" s="226"/>
      <c r="AU9" s="226"/>
      <c r="AV9" s="226"/>
      <c r="AW9" s="22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7"/>
      <c r="CS10" s="217"/>
      <c r="CT10" s="217"/>
      <c r="CU10" s="217"/>
      <c r="CV10" s="217"/>
      <c r="CW10" s="217"/>
      <c r="CX10" s="217"/>
      <c r="CY10" s="217"/>
      <c r="CZ10" s="217"/>
      <c r="DA10" s="217"/>
      <c r="DB10" s="217"/>
      <c r="DC10" s="217"/>
      <c r="DD10" s="217"/>
      <c r="DE10" s="217"/>
      <c r="DF10" s="217"/>
      <c r="DG10" s="217"/>
      <c r="DH10" s="217"/>
      <c r="DI10" s="217"/>
      <c r="DJ10" s="217"/>
      <c r="DK10" s="217"/>
      <c r="DL10" s="217"/>
      <c r="DM10" s="217"/>
      <c r="DN10" s="217"/>
      <c r="DO10" s="217"/>
      <c r="DP10" s="217"/>
      <c r="DQ10" s="217"/>
      <c r="DR10" s="217"/>
      <c r="DS10" s="217"/>
      <c r="DT10" s="217"/>
      <c r="DU10" s="217"/>
      <c r="DV10" s="217"/>
      <c r="DW10" s="217"/>
      <c r="DX10" s="217"/>
      <c r="DY10" s="217"/>
      <c r="DZ10" s="217"/>
      <c r="EA10" s="217"/>
      <c r="EB10" s="217"/>
      <c r="EC10" s="217"/>
      <c r="ED10" s="217"/>
      <c r="EE10" s="217"/>
      <c r="EF10" s="217"/>
      <c r="EG10" s="217"/>
      <c r="EH10" s="217"/>
      <c r="EI10" s="217"/>
      <c r="EJ10" s="217"/>
      <c r="EK10" s="217"/>
      <c r="EL10" s="217"/>
      <c r="EM10" s="217"/>
      <c r="EN10" s="217"/>
      <c r="EO10" s="217"/>
      <c r="EP10" s="217"/>
      <c r="EQ10" s="217"/>
      <c r="ER10" s="217"/>
      <c r="ES10" s="217"/>
      <c r="ET10" s="217"/>
      <c r="EU10" s="217"/>
      <c r="EV10" s="217"/>
      <c r="EW10" s="217"/>
      <c r="EX10" s="217"/>
      <c r="EY10" s="217"/>
      <c r="EZ10" s="217"/>
      <c r="FA10" s="217"/>
      <c r="FB10" s="217"/>
      <c r="FC10" s="217"/>
      <c r="FD10" s="217"/>
      <c r="FE10" s="217"/>
      <c r="FF10" s="217"/>
      <c r="FG10" s="217"/>
      <c r="FH10" s="217"/>
      <c r="FI10" s="217"/>
      <c r="FJ10" s="217"/>
      <c r="FK10" s="217"/>
      <c r="FL10" s="217"/>
      <c r="FM10" s="217"/>
      <c r="FN10" s="217"/>
      <c r="FO10" s="217"/>
      <c r="FP10" s="217"/>
      <c r="FQ10" s="217"/>
      <c r="FR10" s="217"/>
      <c r="FS10" s="217"/>
      <c r="FT10" s="217"/>
      <c r="FU10" s="217"/>
      <c r="FV10" s="217"/>
      <c r="FW10" s="217"/>
      <c r="FX10" s="217"/>
      <c r="FY10" s="217"/>
      <c r="FZ10" s="217"/>
      <c r="GA10" s="217"/>
      <c r="GB10" s="217"/>
      <c r="GC10" s="217"/>
      <c r="GD10" s="217"/>
      <c r="GE10" s="217"/>
      <c r="GF10" s="217"/>
      <c r="GG10" s="217"/>
      <c r="GH10" s="217"/>
      <c r="GI10" s="217"/>
      <c r="GJ10" s="217"/>
      <c r="GK10" s="217"/>
      <c r="GL10" s="217"/>
      <c r="GM10" s="217"/>
      <c r="GN10" s="217"/>
      <c r="GO10" s="217"/>
      <c r="GP10" s="217"/>
      <c r="GQ10" s="217"/>
      <c r="GR10" s="217"/>
      <c r="GS10" s="217"/>
      <c r="GT10" s="217"/>
      <c r="GU10" s="217"/>
      <c r="GV10" s="217"/>
      <c r="GW10" s="217"/>
      <c r="GX10" s="217"/>
      <c r="GY10" s="217"/>
      <c r="GZ10" s="217"/>
      <c r="HA10" s="217"/>
      <c r="HB10" s="217"/>
      <c r="HC10" s="217"/>
      <c r="HD10" s="217"/>
      <c r="HE10" s="217"/>
      <c r="HF10" s="217"/>
      <c r="HG10" s="217"/>
      <c r="HH10" s="217"/>
      <c r="HI10" s="217"/>
      <c r="HJ10" s="217"/>
      <c r="HK10" s="217"/>
      <c r="HL10" s="217"/>
      <c r="HM10" s="217"/>
      <c r="HN10" s="217"/>
      <c r="HO10" s="217"/>
      <c r="HP10" s="217"/>
      <c r="HQ10" s="217"/>
      <c r="HR10" s="217"/>
      <c r="HS10" s="217"/>
      <c r="HT10" s="217"/>
      <c r="HU10" s="217"/>
      <c r="HV10" s="217"/>
      <c r="HW10" s="217"/>
      <c r="HX10" s="217"/>
      <c r="HY10" s="217"/>
      <c r="HZ10" s="217"/>
      <c r="IA10" s="217"/>
      <c r="IB10" s="217"/>
      <c r="IC10" s="217"/>
      <c r="ID10" s="217"/>
      <c r="IE10" s="217"/>
      <c r="IF10" s="217"/>
      <c r="IG10" s="217"/>
      <c r="IH10" s="217"/>
      <c r="II10" s="217"/>
      <c r="IJ10" s="217"/>
      <c r="IK10" s="217"/>
      <c r="IL10" s="217"/>
      <c r="IM10" s="217"/>
      <c r="IN10" s="217"/>
      <c r="IO10" s="217"/>
      <c r="IP10" s="217"/>
      <c r="IQ10" s="217"/>
      <c r="IR10" s="217"/>
      <c r="IS10" s="217"/>
      <c r="IT10" s="217"/>
      <c r="IU10" s="217"/>
      <c r="IV10" s="217"/>
      <c r="IW10" s="217"/>
      <c r="IX10" s="217"/>
      <c r="IY10" s="217"/>
      <c r="IZ10" s="217"/>
      <c r="JA10" s="217"/>
      <c r="JB10" s="217"/>
      <c r="JC10" s="217"/>
      <c r="JD10" s="217"/>
      <c r="JE10" s="217"/>
      <c r="JF10" s="217"/>
      <c r="JG10" s="217"/>
      <c r="JH10" s="217"/>
      <c r="JI10" s="217"/>
      <c r="JJ10" s="217"/>
      <c r="JK10" s="217"/>
      <c r="JL10" s="217"/>
      <c r="JM10" s="217"/>
      <c r="JN10" s="217"/>
      <c r="JO10" s="217"/>
      <c r="JP10" s="217"/>
      <c r="JQ10" s="217"/>
      <c r="JR10" s="217"/>
      <c r="JS10" s="217"/>
      <c r="JT10" s="217"/>
      <c r="JU10" s="217"/>
      <c r="JV10" s="217"/>
      <c r="JW10" s="217"/>
      <c r="JX10" s="217"/>
      <c r="JY10" s="217"/>
      <c r="JZ10" s="217"/>
      <c r="KA10" s="217"/>
      <c r="KB10" s="217"/>
      <c r="KC10" s="217"/>
      <c r="KD10" s="217"/>
      <c r="KE10" s="217"/>
      <c r="KF10" s="217"/>
      <c r="KG10" s="217"/>
      <c r="KH10" s="217"/>
      <c r="KI10" s="217"/>
      <c r="KJ10" s="217"/>
      <c r="KK10" s="217"/>
      <c r="KL10" s="217"/>
      <c r="KM10" s="217"/>
      <c r="KN10" s="217"/>
      <c r="KO10" s="217"/>
      <c r="KP10" s="217"/>
      <c r="KQ10" s="217"/>
      <c r="KR10" s="217"/>
      <c r="KS10" s="217"/>
      <c r="KT10" s="217"/>
      <c r="KU10" s="217"/>
      <c r="KV10" s="217"/>
      <c r="KW10" s="217"/>
      <c r="KX10" s="217"/>
      <c r="KY10" s="217"/>
      <c r="KZ10" s="217"/>
      <c r="LA10" s="217"/>
      <c r="LB10" s="217"/>
      <c r="LC10" s="217"/>
      <c r="LD10" s="217"/>
      <c r="LE10" s="217"/>
      <c r="LF10" s="217"/>
      <c r="LG10" s="217"/>
      <c r="LH10" s="217"/>
      <c r="LI10" s="217"/>
      <c r="LJ10" s="217"/>
      <c r="LK10" s="217"/>
      <c r="LL10" s="217"/>
      <c r="LM10" s="217"/>
      <c r="LN10" s="217"/>
      <c r="LO10" s="217"/>
      <c r="LP10" s="217"/>
      <c r="LQ10" s="217"/>
      <c r="LR10" s="217"/>
      <c r="LS10" s="217"/>
      <c r="LT10" s="217"/>
      <c r="LU10" s="217"/>
      <c r="LV10" s="217"/>
      <c r="LW10" s="217"/>
      <c r="LX10" s="217"/>
      <c r="LY10" s="217"/>
      <c r="LZ10" s="217"/>
      <c r="MA10" s="217"/>
      <c r="MB10" s="217"/>
      <c r="MC10" s="217"/>
      <c r="MD10" s="217"/>
      <c r="ME10" s="217"/>
      <c r="MF10" s="217"/>
      <c r="MG10" s="217"/>
      <c r="MH10" s="217"/>
      <c r="MI10" s="217"/>
      <c r="MJ10" s="217"/>
      <c r="MK10" s="217"/>
      <c r="ML10" s="217"/>
      <c r="MM10" s="217"/>
      <c r="MN10" s="217"/>
      <c r="MO10" s="217"/>
      <c r="MP10" s="217"/>
      <c r="MQ10" s="217"/>
      <c r="MR10" s="217"/>
      <c r="MS10" s="217"/>
      <c r="MT10" s="217"/>
      <c r="MU10" s="217"/>
      <c r="MV10" s="217"/>
      <c r="MW10" s="217"/>
      <c r="MX10" s="217"/>
      <c r="MY10" s="217"/>
      <c r="MZ10" s="217"/>
      <c r="NA10" s="217"/>
      <c r="NB10" s="217"/>
      <c r="NC10" s="217"/>
      <c r="ND10" s="217"/>
      <c r="NE10" s="217"/>
      <c r="NF10" s="217"/>
      <c r="NG10" s="217"/>
      <c r="NH10" s="217"/>
      <c r="NI10" s="217"/>
      <c r="NJ10" s="217"/>
      <c r="NK10" s="217"/>
      <c r="NL10" s="217"/>
      <c r="NM10" s="217"/>
      <c r="NN10" s="217"/>
      <c r="NO10" s="217"/>
      <c r="NP10" s="217"/>
      <c r="NQ10" s="217"/>
      <c r="NR10" s="217"/>
      <c r="NS10" s="217"/>
      <c r="NT10" s="217"/>
      <c r="NU10" s="217"/>
      <c r="NV10" s="217"/>
      <c r="NW10" s="217"/>
      <c r="NX10" s="217"/>
      <c r="NY10" s="217"/>
      <c r="NZ10" s="217"/>
      <c r="OA10" s="217"/>
      <c r="OB10" s="217"/>
      <c r="OC10" s="217"/>
      <c r="OD10" s="217"/>
      <c r="OE10" s="217"/>
      <c r="OF10" s="217"/>
      <c r="OG10" s="217"/>
      <c r="OH10" s="217"/>
      <c r="OI10" s="217"/>
      <c r="OJ10" s="217"/>
      <c r="OK10" s="217"/>
      <c r="OL10" s="217"/>
      <c r="OM10" s="217"/>
      <c r="ON10" s="217"/>
      <c r="OO10" s="217"/>
      <c r="OP10" s="217"/>
      <c r="OQ10" s="217"/>
      <c r="OR10" s="217"/>
      <c r="OS10" s="217"/>
      <c r="OT10" s="217"/>
      <c r="OU10" s="217"/>
      <c r="OV10" s="217"/>
      <c r="OW10" s="217"/>
      <c r="OX10" s="217"/>
      <c r="OY10" s="217"/>
      <c r="OZ10" s="217"/>
      <c r="PA10" s="217"/>
      <c r="PB10" s="217"/>
      <c r="PC10" s="217"/>
      <c r="PD10" s="217"/>
      <c r="PE10" s="217"/>
      <c r="PF10" s="217"/>
      <c r="PG10" s="217"/>
      <c r="PH10" s="217"/>
      <c r="PI10" s="217"/>
      <c r="PJ10" s="217"/>
      <c r="PK10" s="217"/>
      <c r="PL10" s="217"/>
      <c r="PM10" s="217"/>
      <c r="PN10" s="217"/>
      <c r="PO10" s="217"/>
      <c r="PP10" s="217"/>
      <c r="PQ10" s="217"/>
      <c r="PR10" s="217"/>
      <c r="PS10" s="217"/>
      <c r="PT10" s="217"/>
      <c r="PU10" s="217"/>
      <c r="PV10" s="217"/>
      <c r="PW10" s="217"/>
      <c r="PX10" s="217"/>
      <c r="PY10" s="217"/>
      <c r="PZ10" s="217"/>
      <c r="QA10" s="217"/>
      <c r="QB10" s="217"/>
      <c r="QC10" s="217"/>
      <c r="QD10" s="217"/>
      <c r="QE10" s="217"/>
      <c r="QF10" s="217"/>
      <c r="QG10" s="217"/>
      <c r="QH10" s="217"/>
      <c r="QI10" s="217"/>
      <c r="QJ10" s="217"/>
      <c r="QK10" s="217"/>
      <c r="QL10" s="217"/>
      <c r="QM10" s="217"/>
      <c r="QN10" s="217"/>
      <c r="QO10" s="217"/>
      <c r="QP10" s="217"/>
      <c r="QQ10" s="217"/>
      <c r="QR10" s="217"/>
      <c r="QS10" s="217"/>
      <c r="QT10" s="217"/>
      <c r="QU10" s="217"/>
      <c r="QV10" s="217"/>
      <c r="QW10" s="217"/>
      <c r="QX10" s="217"/>
      <c r="QY10" s="217"/>
      <c r="QZ10" s="217"/>
      <c r="RA10" s="217"/>
      <c r="RB10" s="217"/>
      <c r="RC10" s="217"/>
      <c r="RD10" s="217"/>
      <c r="RE10" s="217"/>
      <c r="RF10" s="217"/>
      <c r="RG10" s="217"/>
      <c r="RH10" s="217"/>
      <c r="RI10" s="217"/>
      <c r="RJ10" s="217"/>
      <c r="RK10" s="217"/>
      <c r="RL10" s="217"/>
      <c r="RM10" s="217"/>
      <c r="RN10" s="217"/>
      <c r="RO10" s="217"/>
      <c r="RP10" s="217"/>
      <c r="RQ10" s="217"/>
      <c r="RR10" s="217"/>
      <c r="RS10" s="217"/>
      <c r="RT10" s="217"/>
      <c r="RU10" s="217"/>
      <c r="RV10" s="217"/>
      <c r="RW10" s="217"/>
      <c r="RX10" s="217"/>
      <c r="RY10" s="217"/>
      <c r="RZ10" s="217"/>
      <c r="SA10" s="217"/>
      <c r="SB10" s="217"/>
      <c r="SC10" s="217"/>
      <c r="SD10" s="217"/>
      <c r="SE10" s="217"/>
      <c r="SF10" s="217"/>
      <c r="SG10" s="217"/>
      <c r="SH10" s="217"/>
      <c r="SI10" s="217"/>
      <c r="SJ10" s="217"/>
      <c r="SK10" s="217"/>
      <c r="SL10" s="217"/>
      <c r="SM10" s="217"/>
      <c r="SN10" s="217"/>
      <c r="SO10" s="217"/>
      <c r="SP10" s="217"/>
      <c r="SQ10" s="217"/>
      <c r="SR10" s="217"/>
      <c r="SS10" s="217"/>
      <c r="ST10" s="217"/>
      <c r="SU10" s="217"/>
      <c r="SV10" s="217"/>
      <c r="SW10" s="217"/>
      <c r="SX10" s="217"/>
      <c r="SY10" s="217"/>
      <c r="SZ10" s="217"/>
      <c r="TA10" s="217"/>
      <c r="TB10" s="217"/>
      <c r="TC10" s="217"/>
      <c r="TD10" s="217"/>
      <c r="TE10" s="217"/>
      <c r="TF10" s="217"/>
      <c r="TG10" s="217"/>
      <c r="TH10" s="217"/>
      <c r="TI10" s="217"/>
      <c r="TJ10" s="217"/>
      <c r="TK10" s="217"/>
      <c r="TL10" s="217"/>
      <c r="TM10" s="217"/>
      <c r="TN10" s="217"/>
      <c r="TO10" s="217"/>
      <c r="TP10" s="217"/>
      <c r="TQ10" s="217"/>
      <c r="TR10" s="217"/>
      <c r="TS10" s="217"/>
      <c r="TT10" s="217"/>
      <c r="TU10" s="217"/>
      <c r="TV10" s="217"/>
      <c r="TW10" s="217"/>
      <c r="TX10" s="217"/>
      <c r="TY10" s="217"/>
      <c r="TZ10" s="217"/>
      <c r="UA10" s="217"/>
      <c r="UB10" s="217"/>
      <c r="UC10" s="217"/>
      <c r="UD10" s="217"/>
      <c r="UE10" s="217"/>
      <c r="UF10" s="217"/>
      <c r="UG10" s="217"/>
      <c r="UH10" s="217"/>
      <c r="UI10" s="217"/>
      <c r="UJ10" s="217"/>
      <c r="UK10" s="217"/>
      <c r="UL10" s="217"/>
      <c r="UM10" s="217"/>
      <c r="UN10" s="217"/>
      <c r="UO10" s="217"/>
      <c r="UP10" s="217"/>
      <c r="UQ10" s="217"/>
      <c r="UR10" s="217"/>
      <c r="US10" s="217"/>
      <c r="UT10" s="217"/>
      <c r="UU10" s="217"/>
      <c r="UV10" s="217"/>
      <c r="UW10" s="217"/>
      <c r="UX10" s="217"/>
      <c r="UY10" s="217"/>
      <c r="UZ10" s="217"/>
      <c r="VA10" s="217"/>
      <c r="VB10" s="217"/>
      <c r="VC10" s="217"/>
      <c r="VD10" s="217"/>
      <c r="VE10" s="217"/>
      <c r="VF10" s="217"/>
      <c r="VG10" s="217"/>
      <c r="VH10" s="217"/>
      <c r="VI10" s="217"/>
      <c r="VJ10" s="217"/>
      <c r="VK10" s="217"/>
      <c r="VL10" s="217"/>
      <c r="VM10" s="217"/>
      <c r="VN10" s="217"/>
      <c r="VO10" s="217"/>
      <c r="VP10" s="217"/>
      <c r="VQ10" s="217"/>
      <c r="VR10" s="217"/>
      <c r="VS10" s="217"/>
      <c r="VT10" s="217"/>
      <c r="VU10" s="217"/>
      <c r="VV10" s="217"/>
      <c r="VW10" s="217"/>
      <c r="VX10" s="217"/>
      <c r="VY10" s="217"/>
      <c r="VZ10" s="217"/>
      <c r="WA10" s="217"/>
      <c r="WB10" s="217"/>
      <c r="WC10" s="217"/>
      <c r="WD10" s="217"/>
      <c r="WE10" s="217"/>
      <c r="WF10" s="217"/>
      <c r="WG10" s="217"/>
      <c r="WH10" s="217"/>
      <c r="WI10" s="217"/>
      <c r="WJ10" s="217"/>
      <c r="WK10" s="217"/>
      <c r="WL10" s="217"/>
      <c r="WM10" s="217"/>
      <c r="WN10" s="217"/>
      <c r="WO10" s="217"/>
      <c r="WP10" s="217"/>
      <c r="WQ10" s="217"/>
      <c r="WR10" s="217"/>
      <c r="WS10" s="217"/>
      <c r="WT10" s="217"/>
      <c r="WU10" s="217"/>
      <c r="WV10" s="217"/>
      <c r="WW10" s="217"/>
      <c r="WX10" s="217"/>
      <c r="WY10" s="217"/>
      <c r="WZ10" s="217"/>
      <c r="XA10" s="217"/>
      <c r="XB10" s="217"/>
      <c r="XC10" s="217"/>
      <c r="XD10" s="217"/>
      <c r="XE10" s="217"/>
      <c r="XF10" s="217"/>
      <c r="XG10" s="217"/>
      <c r="XH10" s="217"/>
      <c r="XI10" s="217"/>
      <c r="XJ10" s="217"/>
      <c r="XK10" s="217"/>
      <c r="XL10" s="217"/>
      <c r="XM10" s="217"/>
      <c r="XN10" s="217"/>
      <c r="XO10" s="217"/>
      <c r="XP10" s="217"/>
      <c r="XQ10" s="217"/>
      <c r="XR10" s="217"/>
      <c r="XS10" s="217"/>
      <c r="XT10" s="217"/>
      <c r="XU10" s="217"/>
      <c r="XV10" s="217"/>
      <c r="XW10" s="217"/>
      <c r="XX10" s="217"/>
      <c r="XY10" s="217"/>
      <c r="XZ10" s="217"/>
      <c r="YA10" s="217"/>
      <c r="YB10" s="217"/>
      <c r="YC10" s="217"/>
      <c r="YD10" s="217"/>
      <c r="YE10" s="217"/>
      <c r="YF10" s="217"/>
      <c r="YG10" s="217"/>
      <c r="YH10" s="217"/>
      <c r="YI10" s="217"/>
      <c r="YJ10" s="217"/>
      <c r="YK10" s="217"/>
      <c r="YL10" s="217"/>
      <c r="YM10" s="217"/>
      <c r="YN10" s="217"/>
      <c r="YO10" s="217"/>
      <c r="YP10" s="217"/>
      <c r="YQ10" s="217"/>
      <c r="YR10" s="217"/>
      <c r="YS10" s="217"/>
      <c r="YT10" s="217"/>
      <c r="YU10" s="217"/>
      <c r="YV10" s="217"/>
      <c r="YW10" s="217"/>
      <c r="YX10" s="217"/>
      <c r="YY10" s="217"/>
      <c r="YZ10" s="217"/>
      <c r="ZA10" s="217"/>
      <c r="ZB10" s="217"/>
      <c r="ZC10" s="217"/>
      <c r="ZD10" s="217"/>
      <c r="ZE10" s="217"/>
      <c r="ZF10" s="217"/>
      <c r="ZG10" s="217"/>
      <c r="ZH10" s="217"/>
      <c r="ZI10" s="217"/>
      <c r="ZJ10" s="217"/>
      <c r="ZK10" s="217"/>
      <c r="ZL10" s="217"/>
      <c r="ZM10" s="217"/>
      <c r="ZN10" s="217"/>
      <c r="ZO10" s="217"/>
      <c r="ZP10" s="217"/>
      <c r="ZQ10" s="217"/>
      <c r="ZR10" s="217"/>
      <c r="ZS10" s="217"/>
      <c r="ZT10" s="217"/>
      <c r="ZU10" s="217"/>
      <c r="ZV10" s="217"/>
      <c r="ZW10" s="217"/>
      <c r="ZX10" s="217"/>
      <c r="ZY10" s="217"/>
      <c r="ZZ10" s="217"/>
      <c r="AAA10" s="217"/>
      <c r="AAB10" s="217"/>
      <c r="AAC10" s="217"/>
      <c r="AAD10" s="217"/>
      <c r="AAE10" s="217"/>
      <c r="AAF10" s="217"/>
      <c r="AAG10" s="217"/>
      <c r="AAH10" s="217"/>
      <c r="AAI10" s="217"/>
      <c r="AAJ10" s="217"/>
      <c r="AAK10" s="217"/>
      <c r="AAL10" s="217"/>
      <c r="AAM10" s="217"/>
      <c r="AAN10" s="217"/>
      <c r="AAO10" s="217"/>
      <c r="AAP10" s="217"/>
      <c r="AAQ10" s="217"/>
      <c r="AAR10" s="217"/>
      <c r="AAS10" s="217"/>
      <c r="AAT10" s="217"/>
      <c r="AAU10" s="217"/>
      <c r="AAV10" s="217"/>
      <c r="AAW10" s="217"/>
      <c r="AAX10" s="217"/>
      <c r="AAY10" s="217"/>
      <c r="AAZ10" s="217"/>
      <c r="ABA10" s="217"/>
      <c r="ABB10" s="217"/>
      <c r="ABC10" s="217"/>
      <c r="ABD10" s="217"/>
      <c r="ABE10" s="217"/>
      <c r="ABF10" s="217"/>
      <c r="ABG10" s="217"/>
      <c r="ABH10" s="217"/>
      <c r="ABI10" s="217"/>
      <c r="ABJ10" s="217"/>
      <c r="ABK10" s="217"/>
      <c r="ABL10" s="217"/>
      <c r="ABM10" s="217"/>
      <c r="ABN10" s="217"/>
      <c r="ABO10" s="217"/>
      <c r="ABP10" s="217"/>
      <c r="ABQ10" s="217"/>
      <c r="ABR10" s="217"/>
      <c r="ABS10" s="217"/>
      <c r="ABT10" s="217"/>
      <c r="ABU10" s="217"/>
      <c r="ABV10" s="217"/>
      <c r="ABW10" s="217"/>
      <c r="ABX10" s="217"/>
      <c r="ABY10" s="217"/>
      <c r="ABZ10" s="217"/>
      <c r="ACA10" s="217"/>
      <c r="ACB10" s="217"/>
      <c r="ACC10" s="217"/>
      <c r="ACD10" s="217"/>
      <c r="ACE10" s="217"/>
      <c r="ACF10" s="217"/>
      <c r="ACG10" s="217"/>
      <c r="ACH10" s="217"/>
      <c r="ACI10" s="217"/>
      <c r="ACJ10" s="217"/>
      <c r="ACK10" s="217"/>
      <c r="ACL10" s="217"/>
      <c r="ACM10" s="217"/>
      <c r="ACN10" s="217"/>
      <c r="ACO10" s="217"/>
      <c r="ACP10" s="217"/>
      <c r="ACQ10" s="217"/>
      <c r="ACR10" s="217"/>
      <c r="ACS10" s="217"/>
      <c r="ACT10" s="217"/>
      <c r="ACU10" s="217"/>
      <c r="ACV10" s="217"/>
      <c r="ACW10" s="217"/>
      <c r="ACX10" s="217"/>
      <c r="ACY10" s="217"/>
      <c r="ACZ10" s="217"/>
      <c r="ADA10" s="217"/>
      <c r="ADB10" s="217"/>
      <c r="ADC10" s="217"/>
      <c r="ADD10" s="217"/>
      <c r="ADE10" s="217"/>
      <c r="ADF10" s="217"/>
      <c r="ADG10" s="217"/>
      <c r="ADH10" s="217"/>
      <c r="ADI10" s="217"/>
      <c r="ADJ10" s="217"/>
      <c r="ADK10" s="217"/>
      <c r="ADL10" s="217"/>
      <c r="ADM10" s="217"/>
      <c r="ADN10" s="217"/>
      <c r="ADO10" s="217"/>
      <c r="ADP10" s="217"/>
      <c r="ADQ10" s="217"/>
      <c r="ADR10" s="217"/>
      <c r="ADS10" s="217"/>
      <c r="ADT10" s="217"/>
      <c r="ADU10" s="217"/>
      <c r="ADV10" s="217"/>
      <c r="ADW10" s="217"/>
      <c r="ADX10" s="217"/>
      <c r="ADY10" s="217"/>
      <c r="ADZ10" s="217"/>
      <c r="AEA10" s="217"/>
      <c r="AEB10" s="217"/>
      <c r="AEC10" s="217"/>
      <c r="AED10" s="217"/>
      <c r="AEE10" s="217"/>
      <c r="AEF10" s="217"/>
      <c r="AEG10" s="217"/>
      <c r="AEH10" s="217"/>
      <c r="AEI10" s="217"/>
      <c r="AEJ10" s="217"/>
      <c r="AEK10" s="217"/>
      <c r="AEL10" s="217"/>
      <c r="AEM10" s="217"/>
      <c r="AEN10" s="217"/>
      <c r="AEO10" s="217"/>
      <c r="AEP10" s="217"/>
      <c r="AEQ10" s="217"/>
      <c r="AER10" s="217"/>
      <c r="AES10" s="217"/>
      <c r="AET10" s="217"/>
      <c r="AEU10" s="217"/>
      <c r="AEV10" s="217"/>
      <c r="AEW10" s="217"/>
      <c r="AEX10" s="217"/>
      <c r="AEY10" s="217"/>
      <c r="AEZ10" s="217"/>
      <c r="AFA10" s="217"/>
      <c r="AFB10" s="217"/>
      <c r="AFC10" s="217"/>
      <c r="AFD10" s="217"/>
      <c r="AFE10" s="217"/>
      <c r="AFF10" s="217"/>
      <c r="AFG10" s="217"/>
      <c r="AFH10" s="217"/>
      <c r="AFI10" s="217"/>
      <c r="AFJ10" s="217"/>
      <c r="AFK10" s="217"/>
      <c r="AFL10" s="217"/>
      <c r="AFM10" s="217"/>
      <c r="AFN10" s="217"/>
      <c r="AFO10" s="217"/>
      <c r="AFP10" s="217"/>
      <c r="AFQ10" s="217"/>
      <c r="AFR10" s="217"/>
      <c r="AFS10" s="217"/>
      <c r="AFT10" s="217"/>
      <c r="AFU10" s="217"/>
      <c r="AFV10" s="217"/>
      <c r="AFW10" s="217"/>
      <c r="AFX10" s="217"/>
      <c r="AFY10" s="217"/>
      <c r="AFZ10" s="217"/>
      <c r="AGA10" s="217"/>
      <c r="AGB10" s="217"/>
      <c r="AGC10" s="217"/>
      <c r="AGD10" s="217"/>
      <c r="AGE10" s="217"/>
      <c r="AGF10" s="217"/>
      <c r="AGG10" s="217"/>
      <c r="AGH10" s="217"/>
      <c r="AGI10" s="217"/>
      <c r="AGJ10" s="217"/>
      <c r="AGK10" s="217"/>
      <c r="AGL10" s="217"/>
      <c r="AGM10" s="217"/>
      <c r="AGN10" s="217"/>
      <c r="AGO10" s="217"/>
      <c r="AGP10" s="217"/>
      <c r="AGQ10" s="217"/>
      <c r="AGR10" s="217"/>
      <c r="AGS10" s="217"/>
      <c r="AGT10" s="217"/>
      <c r="AGU10" s="217"/>
      <c r="AGV10" s="217"/>
      <c r="AGW10" s="217"/>
      <c r="AGX10" s="217"/>
      <c r="AGY10" s="217"/>
      <c r="AGZ10" s="217"/>
      <c r="AHA10" s="217"/>
      <c r="AHB10" s="217"/>
      <c r="AHC10" s="217"/>
      <c r="AHD10" s="217"/>
      <c r="AHE10" s="217"/>
      <c r="AHF10" s="217"/>
      <c r="AHG10" s="217"/>
      <c r="AHH10" s="217"/>
      <c r="AHI10" s="217"/>
      <c r="AHJ10" s="217"/>
      <c r="AHK10" s="217"/>
      <c r="AHL10" s="217"/>
      <c r="AHM10" s="217"/>
      <c r="AHN10" s="217"/>
      <c r="AHO10" s="217"/>
      <c r="AHP10" s="217"/>
      <c r="AHQ10" s="217"/>
      <c r="AHR10" s="217"/>
      <c r="AHS10" s="217"/>
      <c r="AHT10" s="217"/>
      <c r="AHU10" s="217"/>
      <c r="AHV10" s="217"/>
      <c r="AHW10" s="217"/>
      <c r="AHX10" s="217"/>
      <c r="AHY10" s="217"/>
      <c r="AHZ10" s="217"/>
      <c r="AIA10" s="217"/>
      <c r="AIB10" s="217"/>
      <c r="AIC10" s="217"/>
      <c r="AID10" s="217"/>
      <c r="AIE10" s="217"/>
      <c r="AIF10" s="217"/>
      <c r="AIG10" s="217"/>
      <c r="AIH10" s="217"/>
      <c r="AII10" s="217"/>
      <c r="AIJ10" s="217"/>
      <c r="AIK10" s="217"/>
      <c r="AIL10" s="217"/>
      <c r="AIM10" s="217"/>
      <c r="AIN10" s="217"/>
      <c r="AIO10" s="217"/>
      <c r="AIP10" s="217"/>
      <c r="AIQ10" s="217"/>
      <c r="AIR10" s="217"/>
      <c r="AIS10" s="217"/>
      <c r="AIT10" s="217"/>
      <c r="AIU10" s="217"/>
      <c r="AIV10" s="217"/>
      <c r="AIW10" s="217"/>
      <c r="AIX10" s="217"/>
      <c r="AIY10" s="217"/>
      <c r="AIZ10" s="217"/>
      <c r="AJA10" s="217"/>
      <c r="AJB10" s="217"/>
      <c r="AJC10" s="217"/>
      <c r="AJD10" s="217"/>
      <c r="AJE10" s="217"/>
      <c r="AJF10" s="217"/>
      <c r="AJG10" s="217"/>
      <c r="AJH10" s="217"/>
      <c r="AJI10" s="217"/>
      <c r="AJJ10" s="217"/>
      <c r="AJK10" s="217"/>
      <c r="AJL10" s="217"/>
      <c r="AJM10" s="217"/>
      <c r="AJN10" s="217"/>
      <c r="AJO10" s="217"/>
      <c r="AJP10" s="217"/>
      <c r="AJQ10" s="217"/>
      <c r="AJR10" s="217"/>
      <c r="AJS10" s="217"/>
      <c r="AJT10" s="217"/>
      <c r="AJU10" s="217"/>
      <c r="AJV10" s="217"/>
      <c r="AJW10" s="217"/>
      <c r="AJX10" s="217"/>
      <c r="AJY10" s="217"/>
      <c r="AJZ10" s="217"/>
      <c r="AKA10" s="217"/>
      <c r="AKB10" s="217"/>
      <c r="AKC10" s="217"/>
      <c r="AKD10" s="217"/>
      <c r="AKE10" s="217"/>
      <c r="AKF10" s="217"/>
      <c r="AKG10" s="217"/>
      <c r="AKH10" s="217"/>
      <c r="AKI10" s="217"/>
      <c r="AKJ10" s="217"/>
      <c r="AKK10" s="217"/>
      <c r="AKL10" s="217"/>
      <c r="AKM10" s="217"/>
      <c r="AKN10" s="217"/>
      <c r="AKO10" s="217"/>
      <c r="AKP10" s="217"/>
      <c r="AKQ10" s="217"/>
      <c r="AKR10" s="217"/>
      <c r="AKS10" s="217"/>
      <c r="AKT10" s="217"/>
      <c r="AKU10" s="217"/>
      <c r="AKV10" s="217"/>
      <c r="AKW10" s="217"/>
      <c r="AKX10" s="217"/>
      <c r="AKY10" s="217"/>
      <c r="AKZ10" s="217"/>
      <c r="ALA10" s="217"/>
      <c r="ALB10" s="217"/>
      <c r="ALC10" s="217"/>
      <c r="ALD10" s="217"/>
      <c r="ALE10" s="217"/>
      <c r="ALF10" s="217"/>
      <c r="ALG10" s="217"/>
      <c r="ALH10" s="217"/>
      <c r="ALI10" s="217"/>
      <c r="ALJ10" s="217"/>
      <c r="ALK10" s="217"/>
      <c r="ALL10" s="217"/>
      <c r="ALM10" s="217"/>
      <c r="ALN10" s="217"/>
      <c r="ALO10" s="217"/>
      <c r="ALP10" s="217"/>
      <c r="ALQ10" s="217"/>
      <c r="ALR10" s="217"/>
      <c r="ALS10" s="217"/>
      <c r="ALT10" s="217"/>
      <c r="ALU10" s="217"/>
      <c r="ALV10" s="217"/>
      <c r="ALW10" s="217"/>
      <c r="ALX10" s="217"/>
      <c r="ALY10" s="217"/>
      <c r="ALZ10" s="217"/>
      <c r="AMA10" s="217"/>
      <c r="AMB10" s="217"/>
      <c r="AMC10" s="217"/>
      <c r="AMD10" s="217"/>
      <c r="AME10" s="217"/>
      <c r="AMF10" s="217"/>
      <c r="AMG10" s="217"/>
      <c r="AMH10" s="217"/>
      <c r="AMI10" s="217"/>
      <c r="AMJ10" s="217"/>
      <c r="AMK10" s="217"/>
      <c r="AML10" s="217"/>
      <c r="AMM10" s="217"/>
      <c r="AMN10" s="217"/>
      <c r="AMO10" s="217"/>
      <c r="AMP10" s="217"/>
      <c r="AMQ10" s="217"/>
      <c r="AMR10" s="217"/>
      <c r="AMS10" s="217"/>
      <c r="AMT10" s="217"/>
      <c r="AMU10" s="217"/>
      <c r="AMV10" s="217"/>
      <c r="AMW10" s="217"/>
      <c r="AMX10" s="217"/>
      <c r="AMY10" s="217"/>
      <c r="AMZ10" s="217"/>
      <c r="ANA10" s="217"/>
      <c r="ANB10" s="217"/>
      <c r="ANC10" s="217"/>
      <c r="AND10" s="217"/>
      <c r="ANE10" s="217"/>
      <c r="ANF10" s="217"/>
      <c r="ANG10" s="217"/>
      <c r="ANH10" s="217"/>
      <c r="ANI10" s="217"/>
      <c r="ANJ10" s="217"/>
      <c r="ANK10" s="217"/>
      <c r="ANL10" s="217"/>
      <c r="ANM10" s="217"/>
      <c r="ANN10" s="217"/>
      <c r="ANO10" s="217"/>
      <c r="ANP10" s="217"/>
      <c r="ANQ10" s="217"/>
      <c r="ANR10" s="217"/>
      <c r="ANS10" s="217"/>
      <c r="ANT10" s="217"/>
      <c r="ANU10" s="217"/>
      <c r="ANV10" s="217"/>
      <c r="ANW10" s="217"/>
      <c r="ANX10" s="217"/>
      <c r="ANY10" s="217"/>
      <c r="ANZ10" s="217"/>
      <c r="AOA10" s="217"/>
      <c r="AOB10" s="217"/>
      <c r="AOC10" s="217"/>
      <c r="AOD10" s="217"/>
      <c r="AOE10" s="217"/>
      <c r="AOF10" s="217"/>
      <c r="AOG10" s="217"/>
      <c r="AOH10" s="217"/>
      <c r="AOI10" s="217"/>
      <c r="AOJ10" s="217"/>
      <c r="AOK10" s="217"/>
      <c r="AOL10" s="217"/>
      <c r="AOM10" s="217"/>
      <c r="AON10" s="217"/>
      <c r="AOO10" s="217"/>
      <c r="AOP10" s="217"/>
      <c r="AOQ10" s="217"/>
      <c r="AOR10" s="217"/>
      <c r="AOS10" s="217"/>
      <c r="AOT10" s="217"/>
      <c r="AOU10" s="217"/>
      <c r="AOV10" s="217"/>
      <c r="AOW10" s="217"/>
      <c r="AOX10" s="217"/>
      <c r="AOY10" s="217"/>
      <c r="AOZ10" s="217"/>
      <c r="APA10" s="217"/>
      <c r="APB10" s="217"/>
      <c r="APC10" s="217"/>
      <c r="APD10" s="217"/>
      <c r="APE10" s="217"/>
      <c r="APF10" s="217"/>
      <c r="APG10" s="217"/>
      <c r="APH10" s="217"/>
      <c r="API10" s="217"/>
      <c r="APJ10" s="217"/>
      <c r="APK10" s="217"/>
      <c r="APL10" s="217"/>
      <c r="APM10" s="217"/>
      <c r="APN10" s="217"/>
      <c r="APO10" s="217"/>
      <c r="APP10" s="217"/>
      <c r="APQ10" s="217"/>
      <c r="APR10" s="217"/>
      <c r="APS10" s="217"/>
      <c r="APT10" s="217"/>
      <c r="APU10" s="217"/>
      <c r="APV10" s="217"/>
      <c r="APW10" s="217"/>
      <c r="APX10" s="217"/>
      <c r="APY10" s="217"/>
      <c r="APZ10" s="217"/>
      <c r="AQA10" s="217"/>
      <c r="AQB10" s="217"/>
      <c r="AQC10" s="217"/>
      <c r="AQD10" s="217"/>
      <c r="AQE10" s="217"/>
      <c r="AQF10" s="217"/>
      <c r="AQG10" s="217"/>
      <c r="AQH10" s="217"/>
      <c r="AQI10" s="217"/>
      <c r="AQJ10" s="217"/>
      <c r="AQK10" s="217"/>
      <c r="AQL10" s="217"/>
      <c r="AQM10" s="217"/>
      <c r="AQN10" s="217"/>
      <c r="AQO10" s="217"/>
      <c r="AQP10" s="217"/>
      <c r="AQQ10" s="217"/>
      <c r="AQR10" s="217"/>
      <c r="AQS10" s="217"/>
      <c r="AQT10" s="217"/>
      <c r="AQU10" s="217"/>
      <c r="AQV10" s="217"/>
      <c r="AQW10" s="217"/>
      <c r="AQX10" s="217"/>
      <c r="AQY10" s="217"/>
      <c r="AQZ10" s="217"/>
      <c r="ARA10" s="217"/>
      <c r="ARB10" s="217"/>
      <c r="ARC10" s="217"/>
      <c r="ARD10" s="217"/>
      <c r="ARE10" s="217"/>
      <c r="ARF10" s="217"/>
      <c r="ARG10" s="217"/>
      <c r="ARH10" s="217"/>
      <c r="ARI10" s="217"/>
      <c r="ARJ10" s="217"/>
      <c r="ARK10" s="217"/>
      <c r="ARL10" s="217"/>
      <c r="ARM10" s="217"/>
      <c r="ARN10" s="217"/>
      <c r="ARO10" s="217"/>
      <c r="ARP10" s="217"/>
      <c r="ARQ10" s="217"/>
      <c r="ARR10" s="217"/>
      <c r="ARS10" s="217"/>
      <c r="ART10" s="217"/>
      <c r="ARU10" s="217"/>
      <c r="ARV10" s="217"/>
      <c r="ARW10" s="217"/>
      <c r="ARX10" s="217"/>
      <c r="ARY10" s="217"/>
      <c r="ARZ10" s="217"/>
      <c r="ASA10" s="217"/>
      <c r="ASB10" s="217"/>
      <c r="ASC10" s="217"/>
      <c r="ASD10" s="217"/>
      <c r="ASE10" s="217"/>
      <c r="ASF10" s="217"/>
      <c r="ASG10" s="217"/>
      <c r="ASH10" s="217"/>
      <c r="ASI10" s="217"/>
      <c r="ASJ10" s="217"/>
      <c r="ASK10" s="217"/>
      <c r="ASL10" s="217"/>
      <c r="ASM10" s="217"/>
      <c r="ASN10" s="217"/>
      <c r="ASO10" s="217"/>
      <c r="ASP10" s="217"/>
      <c r="ASQ10" s="217"/>
      <c r="ASR10" s="217"/>
      <c r="ASS10" s="217"/>
      <c r="AST10" s="217"/>
      <c r="ASU10" s="217"/>
      <c r="ASV10" s="217"/>
      <c r="ASW10" s="217"/>
      <c r="ASX10" s="217"/>
      <c r="ASY10" s="217"/>
      <c r="ASZ10" s="217"/>
      <c r="ATA10" s="217"/>
      <c r="ATB10" s="217"/>
      <c r="ATC10" s="217"/>
      <c r="ATD10" s="217"/>
      <c r="ATE10" s="217"/>
      <c r="ATF10" s="217"/>
      <c r="ATG10" s="217"/>
      <c r="ATH10" s="217"/>
      <c r="ATI10" s="217"/>
      <c r="ATJ10" s="217"/>
      <c r="ATK10" s="217"/>
      <c r="ATL10" s="217"/>
      <c r="ATM10" s="217"/>
      <c r="ATN10" s="217"/>
      <c r="ATO10" s="217"/>
      <c r="ATP10" s="217"/>
      <c r="ATQ10" s="217"/>
      <c r="ATR10" s="217"/>
      <c r="ATS10" s="217"/>
      <c r="ATT10" s="217"/>
      <c r="ATU10" s="217"/>
      <c r="ATV10" s="217"/>
      <c r="ATW10" s="217"/>
      <c r="ATX10" s="217"/>
      <c r="ATY10" s="217"/>
      <c r="ATZ10" s="217"/>
      <c r="AUA10" s="217"/>
      <c r="AUB10" s="217"/>
      <c r="AUC10" s="217"/>
      <c r="AUD10" s="217"/>
      <c r="AUE10" s="217"/>
      <c r="AUF10" s="217"/>
      <c r="AUG10" s="217"/>
      <c r="AUH10" s="217"/>
      <c r="AUI10" s="217"/>
      <c r="AUJ10" s="217"/>
      <c r="AUK10" s="217"/>
      <c r="AUL10" s="217"/>
      <c r="AUM10" s="217"/>
      <c r="AUN10" s="217"/>
      <c r="AUO10" s="217"/>
      <c r="AUP10" s="217"/>
      <c r="AUQ10" s="217"/>
      <c r="AUR10" s="217"/>
      <c r="AUS10" s="217"/>
      <c r="AUT10" s="217"/>
      <c r="AUU10" s="217"/>
      <c r="AUV10" s="217"/>
      <c r="AUW10" s="217"/>
      <c r="AUX10" s="217"/>
      <c r="AUY10" s="217"/>
      <c r="AUZ10" s="217"/>
      <c r="AVA10" s="217"/>
      <c r="AVB10" s="217"/>
      <c r="AVC10" s="217"/>
      <c r="AVD10" s="217"/>
      <c r="AVE10" s="217"/>
      <c r="AVF10" s="217"/>
      <c r="AVG10" s="217"/>
      <c r="AVH10" s="217"/>
      <c r="AVI10" s="217"/>
      <c r="AVJ10" s="217"/>
      <c r="AVK10" s="217"/>
      <c r="AVL10" s="217"/>
      <c r="AVM10" s="217"/>
      <c r="AVN10" s="217"/>
      <c r="AVO10" s="217"/>
      <c r="AVP10" s="217"/>
      <c r="AVQ10" s="217"/>
      <c r="AVR10" s="217"/>
      <c r="AVS10" s="217"/>
      <c r="AVT10" s="217"/>
      <c r="AVU10" s="217"/>
      <c r="AVV10" s="217"/>
      <c r="AVW10" s="217"/>
      <c r="AVX10" s="217"/>
      <c r="AVY10" s="217"/>
      <c r="AVZ10" s="217"/>
      <c r="AWA10" s="217"/>
      <c r="AWB10" s="217"/>
      <c r="AWC10" s="217"/>
      <c r="AWD10" s="217"/>
      <c r="AWE10" s="217"/>
      <c r="AWF10" s="217"/>
      <c r="AWG10" s="217"/>
      <c r="AWH10" s="217"/>
      <c r="AWI10" s="217"/>
      <c r="AWJ10" s="217"/>
      <c r="AWK10" s="217"/>
      <c r="AWL10" s="217"/>
      <c r="AWM10" s="217"/>
      <c r="AWN10" s="217"/>
      <c r="AWO10" s="217"/>
      <c r="AWP10" s="217"/>
      <c r="AWQ10" s="217"/>
      <c r="AWR10" s="217"/>
      <c r="AWS10" s="217"/>
      <c r="AWT10" s="217"/>
      <c r="AWU10" s="217"/>
      <c r="AWV10" s="217"/>
      <c r="AWW10" s="217"/>
      <c r="AWX10" s="217"/>
      <c r="AWY10" s="217"/>
      <c r="AWZ10" s="217"/>
      <c r="AXA10" s="217"/>
      <c r="AXB10" s="217"/>
      <c r="AXC10" s="217"/>
      <c r="AXD10" s="217"/>
      <c r="AXE10" s="217"/>
      <c r="AXF10" s="217"/>
      <c r="AXG10" s="217"/>
      <c r="AXH10" s="217"/>
      <c r="AXI10" s="217"/>
      <c r="AXJ10" s="217"/>
      <c r="AXK10" s="217"/>
      <c r="AXL10" s="217"/>
      <c r="AXM10" s="217"/>
      <c r="AXN10" s="217"/>
      <c r="AXO10" s="217"/>
      <c r="AXP10" s="217"/>
      <c r="AXQ10" s="217"/>
      <c r="AXR10" s="217"/>
      <c r="AXS10" s="217"/>
      <c r="AXT10" s="217"/>
      <c r="AXU10" s="217"/>
      <c r="AXV10" s="217"/>
      <c r="AXW10" s="217"/>
      <c r="AXX10" s="217"/>
      <c r="AXY10" s="217"/>
      <c r="AXZ10" s="217"/>
      <c r="AYA10" s="217"/>
      <c r="AYB10" s="217"/>
      <c r="AYC10" s="217"/>
      <c r="AYD10" s="217"/>
      <c r="AYE10" s="217"/>
      <c r="AYF10" s="217"/>
      <c r="AYG10" s="217"/>
      <c r="AYH10" s="217"/>
      <c r="AYI10" s="217"/>
      <c r="AYJ10" s="217"/>
      <c r="AYK10" s="217"/>
      <c r="AYL10" s="217"/>
      <c r="AYM10" s="217"/>
      <c r="AYN10" s="217"/>
      <c r="AYO10" s="217"/>
      <c r="AYP10" s="217"/>
      <c r="AYQ10" s="217"/>
      <c r="AYR10" s="217"/>
      <c r="AYS10" s="217"/>
      <c r="AYT10" s="217"/>
      <c r="AYU10" s="217"/>
      <c r="AYV10" s="217"/>
      <c r="AYW10" s="217"/>
      <c r="AYX10" s="217"/>
      <c r="AYY10" s="217"/>
      <c r="AYZ10" s="217"/>
      <c r="AZA10" s="217"/>
      <c r="AZB10" s="217"/>
      <c r="AZC10" s="217"/>
      <c r="AZD10" s="217"/>
      <c r="AZE10" s="217"/>
      <c r="AZF10" s="217"/>
      <c r="AZG10" s="217"/>
      <c r="AZH10" s="217"/>
      <c r="AZI10" s="217"/>
      <c r="AZJ10" s="217"/>
      <c r="AZK10" s="217"/>
      <c r="AZL10" s="217"/>
      <c r="AZM10" s="217"/>
      <c r="AZN10" s="217"/>
      <c r="AZO10" s="217"/>
      <c r="AZP10" s="217"/>
      <c r="AZQ10" s="217"/>
      <c r="AZR10" s="217"/>
      <c r="AZS10" s="217"/>
      <c r="AZT10" s="217"/>
      <c r="AZU10" s="217"/>
      <c r="AZV10" s="217"/>
      <c r="AZW10" s="217"/>
      <c r="AZX10" s="217"/>
      <c r="AZY10" s="217"/>
      <c r="AZZ10" s="217"/>
      <c r="BAA10" s="217"/>
      <c r="BAB10" s="217"/>
      <c r="BAC10" s="217"/>
      <c r="BAD10" s="217"/>
      <c r="BAE10" s="217"/>
      <c r="BAF10" s="217"/>
      <c r="BAG10" s="217"/>
      <c r="BAH10" s="217"/>
      <c r="BAI10" s="217"/>
      <c r="BAJ10" s="217"/>
      <c r="BAK10" s="217"/>
      <c r="BAL10" s="217"/>
      <c r="BAM10" s="217"/>
      <c r="BAN10" s="217"/>
      <c r="BAO10" s="217"/>
      <c r="BAP10" s="217"/>
      <c r="BAQ10" s="217"/>
      <c r="BAR10" s="217"/>
      <c r="BAS10" s="217"/>
      <c r="BAT10" s="217"/>
      <c r="BAU10" s="217"/>
      <c r="BAV10" s="217"/>
      <c r="BAW10" s="217"/>
      <c r="BAX10" s="217"/>
      <c r="BAY10" s="217"/>
      <c r="BAZ10" s="217"/>
      <c r="BBA10" s="217"/>
      <c r="BBB10" s="217"/>
      <c r="BBC10" s="217"/>
      <c r="BBD10" s="217"/>
      <c r="BBE10" s="217"/>
      <c r="BBF10" s="217"/>
      <c r="BBG10" s="217"/>
      <c r="BBH10" s="217"/>
      <c r="BBI10" s="217"/>
      <c r="BBJ10" s="217"/>
      <c r="BBK10" s="217"/>
      <c r="BBL10" s="217"/>
      <c r="BBM10" s="217"/>
      <c r="BBN10" s="217"/>
      <c r="BBO10" s="217"/>
      <c r="BBP10" s="217"/>
      <c r="BBQ10" s="217"/>
      <c r="BBR10" s="217"/>
      <c r="BBS10" s="217"/>
      <c r="BBT10" s="217"/>
      <c r="BBU10" s="217"/>
      <c r="BBV10" s="217"/>
      <c r="BBW10" s="217"/>
      <c r="BBX10" s="217"/>
      <c r="BBY10" s="217"/>
      <c r="BBZ10" s="217"/>
      <c r="BCA10" s="217"/>
      <c r="BCB10" s="217"/>
      <c r="BCC10" s="217"/>
      <c r="BCD10" s="217"/>
      <c r="BCE10" s="217"/>
      <c r="BCF10" s="217"/>
      <c r="BCG10" s="217"/>
      <c r="BCH10" s="217"/>
      <c r="BCI10" s="217"/>
      <c r="BCJ10" s="217"/>
      <c r="BCK10" s="217"/>
      <c r="BCL10" s="217"/>
      <c r="BCM10" s="217"/>
      <c r="BCN10" s="217"/>
      <c r="BCO10" s="217"/>
      <c r="BCP10" s="217"/>
      <c r="BCQ10" s="217"/>
      <c r="BCR10" s="217"/>
      <c r="BCS10" s="217"/>
      <c r="BCT10" s="217"/>
      <c r="BCU10" s="217"/>
      <c r="BCV10" s="217"/>
      <c r="BCW10" s="217"/>
      <c r="BCX10" s="217"/>
      <c r="BCY10" s="217"/>
      <c r="BCZ10" s="217"/>
      <c r="BDA10" s="217"/>
      <c r="BDB10" s="217"/>
      <c r="BDC10" s="217"/>
      <c r="BDD10" s="217"/>
      <c r="BDE10" s="217"/>
      <c r="BDF10" s="217"/>
      <c r="BDG10" s="217"/>
      <c r="BDH10" s="217"/>
      <c r="BDI10" s="217"/>
      <c r="BDJ10" s="217"/>
      <c r="BDK10" s="217"/>
      <c r="BDL10" s="217"/>
      <c r="BDM10" s="217"/>
      <c r="BDN10" s="217"/>
      <c r="BDO10" s="217"/>
      <c r="BDP10" s="217"/>
      <c r="BDQ10" s="217"/>
      <c r="BDR10" s="217"/>
      <c r="BDS10" s="217"/>
      <c r="BDT10" s="217"/>
      <c r="BDU10" s="217"/>
      <c r="BDV10" s="217"/>
      <c r="BDW10" s="217"/>
      <c r="BDX10" s="217"/>
      <c r="BDY10" s="217"/>
      <c r="BDZ10" s="217"/>
      <c r="BEA10" s="217"/>
      <c r="BEB10" s="217"/>
      <c r="BEC10" s="217"/>
      <c r="BED10" s="217"/>
      <c r="BEE10" s="217"/>
      <c r="BEF10" s="217"/>
      <c r="BEG10" s="217"/>
      <c r="BEH10" s="217"/>
      <c r="BEI10" s="217"/>
      <c r="BEJ10" s="217"/>
      <c r="BEK10" s="217"/>
      <c r="BEL10" s="217"/>
      <c r="BEM10" s="217"/>
      <c r="BEN10" s="217"/>
      <c r="BEO10" s="217"/>
      <c r="BEP10" s="217"/>
      <c r="BEQ10" s="217"/>
      <c r="BER10" s="217"/>
      <c r="BES10" s="217"/>
      <c r="BET10" s="217"/>
      <c r="BEU10" s="217"/>
      <c r="BEV10" s="217"/>
      <c r="BEW10" s="217"/>
      <c r="BEX10" s="217"/>
      <c r="BEY10" s="217"/>
      <c r="BEZ10" s="217"/>
      <c r="BFA10" s="217"/>
      <c r="BFB10" s="217"/>
      <c r="BFC10" s="217"/>
      <c r="BFD10" s="217"/>
      <c r="BFE10" s="217"/>
      <c r="BFF10" s="217"/>
      <c r="BFG10" s="217"/>
      <c r="BFH10" s="217"/>
      <c r="BFI10" s="217"/>
      <c r="BFJ10" s="217"/>
      <c r="BFK10" s="217"/>
      <c r="BFL10" s="217"/>
      <c r="BFM10" s="217"/>
      <c r="BFN10" s="217"/>
      <c r="BFO10" s="217"/>
      <c r="BFP10" s="217"/>
      <c r="BFQ10" s="217"/>
      <c r="BFR10" s="217"/>
      <c r="BFS10" s="217"/>
      <c r="BFT10" s="217"/>
      <c r="BFU10" s="217"/>
      <c r="BFV10" s="217"/>
      <c r="BFW10" s="217"/>
      <c r="BFX10" s="217"/>
      <c r="BFY10" s="217"/>
      <c r="BFZ10" s="217"/>
      <c r="BGA10" s="217"/>
      <c r="BGB10" s="217"/>
      <c r="BGC10" s="217"/>
      <c r="BGD10" s="217"/>
      <c r="BGE10" s="217"/>
      <c r="BGF10" s="217"/>
      <c r="BGG10" s="217"/>
      <c r="BGH10" s="217"/>
      <c r="BGI10" s="217"/>
      <c r="BGJ10" s="217"/>
      <c r="BGK10" s="217"/>
      <c r="BGL10" s="217"/>
      <c r="BGM10" s="217"/>
      <c r="BGN10" s="217"/>
      <c r="BGO10" s="217"/>
      <c r="BGP10" s="217"/>
      <c r="BGQ10" s="217"/>
      <c r="BGR10" s="217"/>
      <c r="BGS10" s="217"/>
      <c r="BGT10" s="217"/>
      <c r="BGU10" s="217"/>
      <c r="BGV10" s="217"/>
      <c r="BGW10" s="217"/>
      <c r="BGX10" s="217"/>
      <c r="BGY10" s="217"/>
      <c r="BGZ10" s="217"/>
      <c r="BHA10" s="217"/>
      <c r="BHB10" s="217"/>
      <c r="BHC10" s="217"/>
      <c r="BHD10" s="217"/>
      <c r="BHE10" s="217"/>
      <c r="BHF10" s="217"/>
      <c r="BHG10" s="217"/>
      <c r="BHH10" s="217"/>
      <c r="BHI10" s="217"/>
      <c r="BHJ10" s="217"/>
      <c r="BHK10" s="217"/>
      <c r="BHL10" s="217"/>
      <c r="BHM10" s="217"/>
      <c r="BHN10" s="217"/>
      <c r="BHO10" s="217"/>
      <c r="BHP10" s="217"/>
      <c r="BHQ10" s="217"/>
      <c r="BHR10" s="217"/>
      <c r="BHS10" s="217"/>
      <c r="BHT10" s="217"/>
      <c r="BHU10" s="217"/>
      <c r="BHV10" s="217"/>
      <c r="BHW10" s="217"/>
      <c r="BHX10" s="217"/>
      <c r="BHY10" s="217"/>
      <c r="BHZ10" s="217"/>
      <c r="BIA10" s="217"/>
      <c r="BIB10" s="217"/>
      <c r="BIC10" s="217"/>
      <c r="BID10" s="217"/>
      <c r="BIE10" s="217"/>
      <c r="BIF10" s="217"/>
      <c r="BIG10" s="217"/>
      <c r="BIH10" s="217"/>
      <c r="BII10" s="217"/>
      <c r="BIJ10" s="217"/>
      <c r="BIK10" s="217"/>
      <c r="BIL10" s="217"/>
      <c r="BIM10" s="217"/>
      <c r="BIN10" s="217"/>
      <c r="BIO10" s="217"/>
      <c r="BIP10" s="217"/>
      <c r="BIQ10" s="217"/>
      <c r="BIR10" s="217"/>
      <c r="BIS10" s="217"/>
      <c r="BIT10" s="217"/>
      <c r="BIU10" s="217"/>
      <c r="BIV10" s="217"/>
      <c r="BIW10" s="217"/>
      <c r="BIX10" s="217"/>
      <c r="BIY10" s="217"/>
      <c r="BIZ10" s="217"/>
      <c r="BJA10" s="217"/>
      <c r="BJB10" s="217"/>
      <c r="BJC10" s="217"/>
      <c r="BJD10" s="217"/>
      <c r="BJE10" s="217"/>
      <c r="BJF10" s="217"/>
      <c r="BJG10" s="217"/>
      <c r="BJH10" s="217"/>
      <c r="BJI10" s="217"/>
      <c r="BJJ10" s="217"/>
      <c r="BJK10" s="217"/>
      <c r="BJL10" s="217"/>
      <c r="BJM10" s="217"/>
      <c r="BJN10" s="217"/>
      <c r="BJO10" s="217"/>
      <c r="BJP10" s="217"/>
      <c r="BJQ10" s="217"/>
      <c r="BJR10" s="217"/>
      <c r="BJS10" s="217"/>
      <c r="BJT10" s="217"/>
      <c r="BJU10" s="217"/>
      <c r="BJV10" s="217"/>
      <c r="BJW10" s="217"/>
      <c r="BJX10" s="217"/>
      <c r="BJY10" s="217"/>
      <c r="BJZ10" s="217"/>
      <c r="BKA10" s="217"/>
      <c r="BKB10" s="217"/>
      <c r="BKC10" s="217"/>
      <c r="BKD10" s="217"/>
      <c r="BKE10" s="217"/>
      <c r="BKF10" s="217"/>
      <c r="BKG10" s="217"/>
      <c r="BKH10" s="217"/>
      <c r="BKI10" s="217"/>
      <c r="BKJ10" s="217"/>
      <c r="BKK10" s="217"/>
      <c r="BKL10" s="217"/>
      <c r="BKM10" s="217"/>
      <c r="BKN10" s="217"/>
      <c r="BKO10" s="217"/>
      <c r="BKP10" s="217"/>
      <c r="BKQ10" s="217"/>
      <c r="BKR10" s="217"/>
      <c r="BKS10" s="217"/>
      <c r="BKT10" s="217"/>
      <c r="BKU10" s="217"/>
      <c r="BKV10" s="217"/>
      <c r="BKW10" s="217"/>
      <c r="BKX10" s="217"/>
      <c r="BKY10" s="217"/>
      <c r="BKZ10" s="217"/>
      <c r="BLA10" s="217"/>
      <c r="BLB10" s="217"/>
      <c r="BLC10" s="217"/>
      <c r="BLD10" s="217"/>
      <c r="BLE10" s="217"/>
      <c r="BLF10" s="217"/>
      <c r="BLG10" s="217"/>
      <c r="BLH10" s="217"/>
      <c r="BLI10" s="217"/>
      <c r="BLJ10" s="217"/>
      <c r="BLK10" s="217"/>
      <c r="BLL10" s="217"/>
      <c r="BLM10" s="217"/>
      <c r="BLN10" s="217"/>
      <c r="BLO10" s="217"/>
      <c r="BLP10" s="217"/>
      <c r="BLQ10" s="217"/>
      <c r="BLR10" s="217"/>
      <c r="BLS10" s="217"/>
      <c r="BLT10" s="217"/>
      <c r="BLU10" s="217"/>
    </row>
    <row r="11" spans="1:1744" ht="20.100000000000001" customHeight="1" x14ac:dyDescent="0.25">
      <c r="B11" s="96"/>
      <c r="C11" s="231"/>
      <c r="D11" s="231"/>
      <c r="E11" s="231"/>
      <c r="F11" s="219" t="s">
        <v>86</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85</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21" t="s">
        <v>85</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83</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83</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81</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78</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78</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75</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75</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72</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72</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70</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67</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67</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61</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58</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58</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55</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55</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52</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52</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48</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48</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47</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47</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46</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46</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row>
    <row r="12" spans="1:1744" ht="15.75" customHeight="1" thickBot="1" x14ac:dyDescent="0.3">
      <c r="B12" s="97"/>
      <c r="C12" s="232"/>
      <c r="D12" s="232"/>
      <c r="E12" s="232"/>
      <c r="F12" s="220" t="s">
        <v>44</v>
      </c>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t="s">
        <v>45</v>
      </c>
      <c r="BO12" s="220"/>
      <c r="BP12" s="220"/>
      <c r="BQ12" s="220"/>
      <c r="BR12" s="220"/>
      <c r="BS12" s="220"/>
      <c r="BT12" s="220"/>
      <c r="BU12" s="220"/>
      <c r="BV12" s="220"/>
      <c r="BW12" s="220"/>
      <c r="BX12" s="220"/>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2" t="s">
        <v>44</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22" t="s">
        <v>45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44</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45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45</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44</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45</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44</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45</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44</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45</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45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44</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45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45</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44</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45</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44</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45</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44</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45</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44</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45</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44</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45</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44</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row>
    <row r="13" spans="1:1744" ht="42.75" customHeight="1" thickBot="1" x14ac:dyDescent="0.3">
      <c r="B13" s="96"/>
      <c r="C13" s="227" t="s">
        <v>7</v>
      </c>
      <c r="D13" s="144"/>
      <c r="E13" s="229" t="s">
        <v>38</v>
      </c>
      <c r="F13" s="223" t="s">
        <v>8</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27</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18</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84</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82</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80</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79</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77</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76</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74</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73</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71</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69</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68</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66</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65</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64</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63</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62</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60</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59</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57</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56</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54</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53</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51</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50</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49</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row>
    <row r="14" spans="1:1744" ht="12.75" customHeight="1" thickBot="1" x14ac:dyDescent="0.35">
      <c r="B14" s="96"/>
      <c r="C14" s="228"/>
      <c r="D14" s="145"/>
      <c r="E14" s="230"/>
      <c r="F14" s="103"/>
      <c r="G14" s="104"/>
      <c r="H14" s="104"/>
      <c r="I14" s="104"/>
      <c r="J14" s="210" t="s">
        <v>33</v>
      </c>
      <c r="K14" s="210"/>
      <c r="L14" s="210"/>
      <c r="M14" s="210"/>
      <c r="N14" s="104"/>
      <c r="O14" s="104"/>
      <c r="P14" s="211" t="s">
        <v>23</v>
      </c>
      <c r="Q14" s="211"/>
      <c r="R14" s="211"/>
      <c r="S14" s="211"/>
      <c r="T14" s="129"/>
      <c r="U14" s="129"/>
      <c r="V14" s="210" t="s">
        <v>34</v>
      </c>
      <c r="W14" s="210"/>
      <c r="X14" s="210"/>
      <c r="Y14" s="210"/>
      <c r="Z14" s="104"/>
      <c r="AA14" s="104"/>
      <c r="AB14" s="211" t="s">
        <v>24</v>
      </c>
      <c r="AC14" s="211"/>
      <c r="AD14" s="211"/>
      <c r="AE14" s="211"/>
      <c r="AF14" s="129"/>
      <c r="AG14" s="129"/>
      <c r="AH14" s="210" t="s">
        <v>35</v>
      </c>
      <c r="AI14" s="210"/>
      <c r="AJ14" s="210"/>
      <c r="AK14" s="210"/>
      <c r="AL14" s="104"/>
      <c r="AM14" s="104"/>
      <c r="AN14" s="211" t="s">
        <v>25</v>
      </c>
      <c r="AO14" s="211"/>
      <c r="AP14" s="211"/>
      <c r="AQ14" s="211"/>
      <c r="AR14" s="129"/>
      <c r="AS14" s="129"/>
      <c r="AT14" s="210" t="s">
        <v>36</v>
      </c>
      <c r="AU14" s="210"/>
      <c r="AV14" s="210"/>
      <c r="AW14" s="210"/>
      <c r="AX14" s="104"/>
      <c r="AY14" s="104"/>
      <c r="AZ14" s="211" t="s">
        <v>26</v>
      </c>
      <c r="BA14" s="211"/>
      <c r="BB14" s="211"/>
      <c r="BC14" s="211"/>
      <c r="BD14" s="129"/>
      <c r="BE14" s="129"/>
      <c r="BF14" s="210" t="s">
        <v>37</v>
      </c>
      <c r="BG14" s="210"/>
      <c r="BH14" s="210"/>
      <c r="BI14" s="210"/>
      <c r="BJ14" s="104"/>
      <c r="BK14" s="104"/>
      <c r="BL14" s="104"/>
      <c r="BM14" s="105"/>
      <c r="BN14" s="103"/>
      <c r="BO14" s="104"/>
      <c r="BP14" s="104"/>
      <c r="BQ14" s="104"/>
      <c r="BR14" s="210" t="s">
        <v>33</v>
      </c>
      <c r="BS14" s="210"/>
      <c r="BT14" s="210"/>
      <c r="BU14" s="210"/>
      <c r="BV14" s="104"/>
      <c r="BW14" s="104"/>
      <c r="BX14" s="211" t="s">
        <v>23</v>
      </c>
      <c r="BY14" s="211"/>
      <c r="BZ14" s="211"/>
      <c r="CA14" s="211"/>
      <c r="CB14" s="129"/>
      <c r="CC14" s="129"/>
      <c r="CD14" s="210" t="s">
        <v>34</v>
      </c>
      <c r="CE14" s="210"/>
      <c r="CF14" s="210"/>
      <c r="CG14" s="210"/>
      <c r="CH14" s="104"/>
      <c r="CI14" s="104"/>
      <c r="CJ14" s="211" t="s">
        <v>24</v>
      </c>
      <c r="CK14" s="211"/>
      <c r="CL14" s="211"/>
      <c r="CM14" s="211"/>
      <c r="CN14" s="129"/>
      <c r="CO14" s="129"/>
      <c r="CP14" s="210" t="s">
        <v>35</v>
      </c>
      <c r="CQ14" s="210"/>
      <c r="CR14" s="210"/>
      <c r="CS14" s="210"/>
      <c r="CT14" s="104"/>
      <c r="CU14" s="104"/>
      <c r="CV14" s="211" t="s">
        <v>25</v>
      </c>
      <c r="CW14" s="211"/>
      <c r="CX14" s="211"/>
      <c r="CY14" s="211"/>
      <c r="CZ14" s="129"/>
      <c r="DA14" s="129"/>
      <c r="DB14" s="210" t="s">
        <v>36</v>
      </c>
      <c r="DC14" s="210"/>
      <c r="DD14" s="210"/>
      <c r="DE14" s="210"/>
      <c r="DF14" s="104"/>
      <c r="DG14" s="104"/>
      <c r="DH14" s="211" t="s">
        <v>26</v>
      </c>
      <c r="DI14" s="211"/>
      <c r="DJ14" s="211"/>
      <c r="DK14" s="211"/>
      <c r="DL14" s="129"/>
      <c r="DM14" s="129"/>
      <c r="DN14" s="210" t="s">
        <v>37</v>
      </c>
      <c r="DO14" s="210"/>
      <c r="DP14" s="210"/>
      <c r="DQ14" s="210"/>
      <c r="DR14" s="104"/>
      <c r="DS14" s="104"/>
      <c r="DT14" s="104"/>
      <c r="DU14" s="105"/>
      <c r="DV14" s="103"/>
      <c r="DW14" s="104"/>
      <c r="DX14" s="104"/>
      <c r="DY14" s="104"/>
      <c r="DZ14" s="210" t="s">
        <v>33</v>
      </c>
      <c r="EA14" s="210"/>
      <c r="EB14" s="210"/>
      <c r="EC14" s="210"/>
      <c r="ED14" s="104"/>
      <c r="EE14" s="104"/>
      <c r="EF14" s="211" t="s">
        <v>23</v>
      </c>
      <c r="EG14" s="211"/>
      <c r="EH14" s="211"/>
      <c r="EI14" s="211"/>
      <c r="EJ14" s="129"/>
      <c r="EK14" s="129"/>
      <c r="EL14" s="210" t="s">
        <v>34</v>
      </c>
      <c r="EM14" s="210"/>
      <c r="EN14" s="210"/>
      <c r="EO14" s="210"/>
      <c r="EP14" s="104"/>
      <c r="EQ14" s="104"/>
      <c r="ER14" s="211" t="s">
        <v>24</v>
      </c>
      <c r="ES14" s="211"/>
      <c r="ET14" s="211"/>
      <c r="EU14" s="211"/>
      <c r="EV14" s="129"/>
      <c r="EW14" s="129"/>
      <c r="EX14" s="210" t="s">
        <v>35</v>
      </c>
      <c r="EY14" s="210"/>
      <c r="EZ14" s="210"/>
      <c r="FA14" s="210"/>
      <c r="FB14" s="104"/>
      <c r="FC14" s="104"/>
      <c r="FD14" s="211" t="s">
        <v>25</v>
      </c>
      <c r="FE14" s="211"/>
      <c r="FF14" s="211"/>
      <c r="FG14" s="211"/>
      <c r="FH14" s="129"/>
      <c r="FI14" s="129"/>
      <c r="FJ14" s="210" t="s">
        <v>36</v>
      </c>
      <c r="FK14" s="210"/>
      <c r="FL14" s="210"/>
      <c r="FM14" s="210"/>
      <c r="FN14" s="104"/>
      <c r="FO14" s="104"/>
      <c r="FP14" s="211" t="s">
        <v>26</v>
      </c>
      <c r="FQ14" s="211"/>
      <c r="FR14" s="211"/>
      <c r="FS14" s="211"/>
      <c r="FT14" s="129"/>
      <c r="FU14" s="129"/>
      <c r="FV14" s="210" t="s">
        <v>37</v>
      </c>
      <c r="FW14" s="210"/>
      <c r="FX14" s="210"/>
      <c r="FY14" s="210"/>
      <c r="FZ14" s="104"/>
      <c r="GA14" s="104"/>
      <c r="GB14" s="104"/>
      <c r="GC14" s="105"/>
      <c r="GD14" s="103"/>
      <c r="GE14" s="104"/>
      <c r="GF14" s="104"/>
      <c r="GG14" s="104"/>
      <c r="GH14" s="210" t="s">
        <v>33</v>
      </c>
      <c r="GI14" s="210"/>
      <c r="GJ14" s="210"/>
      <c r="GK14" s="210"/>
      <c r="GL14" s="104"/>
      <c r="GM14" s="104"/>
      <c r="GN14" s="211" t="s">
        <v>23</v>
      </c>
      <c r="GO14" s="211"/>
      <c r="GP14" s="211"/>
      <c r="GQ14" s="211"/>
      <c r="GR14" s="129"/>
      <c r="GS14" s="129"/>
      <c r="GT14" s="210" t="s">
        <v>34</v>
      </c>
      <c r="GU14" s="210"/>
      <c r="GV14" s="210"/>
      <c r="GW14" s="210"/>
      <c r="GX14" s="104"/>
      <c r="GY14" s="104"/>
      <c r="GZ14" s="211" t="s">
        <v>24</v>
      </c>
      <c r="HA14" s="211"/>
      <c r="HB14" s="211"/>
      <c r="HC14" s="211"/>
      <c r="HD14" s="129"/>
      <c r="HE14" s="129"/>
      <c r="HF14" s="210" t="s">
        <v>35</v>
      </c>
      <c r="HG14" s="210"/>
      <c r="HH14" s="210"/>
      <c r="HI14" s="210"/>
      <c r="HJ14" s="104"/>
      <c r="HK14" s="104"/>
      <c r="HL14" s="211" t="s">
        <v>25</v>
      </c>
      <c r="HM14" s="211"/>
      <c r="HN14" s="211"/>
      <c r="HO14" s="211"/>
      <c r="HP14" s="129"/>
      <c r="HQ14" s="129"/>
      <c r="HR14" s="210" t="s">
        <v>36</v>
      </c>
      <c r="HS14" s="210"/>
      <c r="HT14" s="210"/>
      <c r="HU14" s="210"/>
      <c r="HV14" s="104"/>
      <c r="HW14" s="104"/>
      <c r="HX14" s="211" t="s">
        <v>26</v>
      </c>
      <c r="HY14" s="211"/>
      <c r="HZ14" s="211"/>
      <c r="IA14" s="211"/>
      <c r="IB14" s="129"/>
      <c r="IC14" s="129"/>
      <c r="ID14" s="210" t="s">
        <v>37</v>
      </c>
      <c r="IE14" s="210"/>
      <c r="IF14" s="210"/>
      <c r="IG14" s="210"/>
      <c r="IH14" s="104"/>
      <c r="II14" s="104"/>
      <c r="IJ14" s="104"/>
      <c r="IK14" s="105"/>
      <c r="IL14" s="103"/>
      <c r="IM14" s="104"/>
      <c r="IN14" s="104"/>
      <c r="IO14" s="104"/>
      <c r="IP14" s="210" t="s">
        <v>33</v>
      </c>
      <c r="IQ14" s="210"/>
      <c r="IR14" s="210"/>
      <c r="IS14" s="210"/>
      <c r="IT14" s="104"/>
      <c r="IU14" s="104"/>
      <c r="IV14" s="211" t="s">
        <v>23</v>
      </c>
      <c r="IW14" s="211"/>
      <c r="IX14" s="211"/>
      <c r="IY14" s="211"/>
      <c r="IZ14" s="129"/>
      <c r="JA14" s="129"/>
      <c r="JB14" s="210" t="s">
        <v>34</v>
      </c>
      <c r="JC14" s="210"/>
      <c r="JD14" s="210"/>
      <c r="JE14" s="210"/>
      <c r="JF14" s="104"/>
      <c r="JG14" s="104"/>
      <c r="JH14" s="211" t="s">
        <v>24</v>
      </c>
      <c r="JI14" s="211"/>
      <c r="JJ14" s="211"/>
      <c r="JK14" s="211"/>
      <c r="JL14" s="129"/>
      <c r="JM14" s="129"/>
      <c r="JN14" s="210" t="s">
        <v>35</v>
      </c>
      <c r="JO14" s="210"/>
      <c r="JP14" s="210"/>
      <c r="JQ14" s="210"/>
      <c r="JR14" s="104"/>
      <c r="JS14" s="104"/>
      <c r="JT14" s="211" t="s">
        <v>25</v>
      </c>
      <c r="JU14" s="211"/>
      <c r="JV14" s="211"/>
      <c r="JW14" s="211"/>
      <c r="JX14" s="129"/>
      <c r="JY14" s="129"/>
      <c r="JZ14" s="210" t="s">
        <v>36</v>
      </c>
      <c r="KA14" s="210"/>
      <c r="KB14" s="210"/>
      <c r="KC14" s="210"/>
      <c r="KD14" s="104"/>
      <c r="KE14" s="104"/>
      <c r="KF14" s="211" t="s">
        <v>26</v>
      </c>
      <c r="KG14" s="211"/>
      <c r="KH14" s="211"/>
      <c r="KI14" s="211"/>
      <c r="KJ14" s="129"/>
      <c r="KK14" s="129"/>
      <c r="KL14" s="210" t="s">
        <v>37</v>
      </c>
      <c r="KM14" s="210"/>
      <c r="KN14" s="210"/>
      <c r="KO14" s="210"/>
      <c r="KP14" s="104"/>
      <c r="KQ14" s="104"/>
      <c r="KR14" s="104"/>
      <c r="KS14" s="105"/>
      <c r="KT14" s="103"/>
      <c r="KU14" s="104"/>
      <c r="KV14" s="104"/>
      <c r="KW14" s="104"/>
      <c r="KX14" s="210" t="s">
        <v>33</v>
      </c>
      <c r="KY14" s="210"/>
      <c r="KZ14" s="210"/>
      <c r="LA14" s="210"/>
      <c r="LB14" s="104"/>
      <c r="LC14" s="104"/>
      <c r="LD14" s="211" t="s">
        <v>23</v>
      </c>
      <c r="LE14" s="211"/>
      <c r="LF14" s="211"/>
      <c r="LG14" s="211"/>
      <c r="LH14" s="129"/>
      <c r="LI14" s="129"/>
      <c r="LJ14" s="210" t="s">
        <v>34</v>
      </c>
      <c r="LK14" s="210"/>
      <c r="LL14" s="210"/>
      <c r="LM14" s="210"/>
      <c r="LN14" s="104"/>
      <c r="LO14" s="104"/>
      <c r="LP14" s="211" t="s">
        <v>24</v>
      </c>
      <c r="LQ14" s="211"/>
      <c r="LR14" s="211"/>
      <c r="LS14" s="211"/>
      <c r="LT14" s="129"/>
      <c r="LU14" s="129"/>
      <c r="LV14" s="210" t="s">
        <v>35</v>
      </c>
      <c r="LW14" s="210"/>
      <c r="LX14" s="210"/>
      <c r="LY14" s="210"/>
      <c r="LZ14" s="104"/>
      <c r="MA14" s="104"/>
      <c r="MB14" s="211" t="s">
        <v>25</v>
      </c>
      <c r="MC14" s="211"/>
      <c r="MD14" s="211"/>
      <c r="ME14" s="211"/>
      <c r="MF14" s="129"/>
      <c r="MG14" s="129"/>
      <c r="MH14" s="210" t="s">
        <v>36</v>
      </c>
      <c r="MI14" s="210"/>
      <c r="MJ14" s="210"/>
      <c r="MK14" s="210"/>
      <c r="ML14" s="104"/>
      <c r="MM14" s="104"/>
      <c r="MN14" s="211" t="s">
        <v>26</v>
      </c>
      <c r="MO14" s="211"/>
      <c r="MP14" s="211"/>
      <c r="MQ14" s="211"/>
      <c r="MR14" s="129"/>
      <c r="MS14" s="129"/>
      <c r="MT14" s="210" t="s">
        <v>37</v>
      </c>
      <c r="MU14" s="210"/>
      <c r="MV14" s="210"/>
      <c r="MW14" s="210"/>
      <c r="MX14" s="104"/>
      <c r="MY14" s="104"/>
      <c r="MZ14" s="104"/>
      <c r="NA14" s="105"/>
      <c r="NB14" s="103"/>
      <c r="NC14" s="104"/>
      <c r="ND14" s="104"/>
      <c r="NE14" s="104"/>
      <c r="NF14" s="210" t="s">
        <v>33</v>
      </c>
      <c r="NG14" s="210"/>
      <c r="NH14" s="210"/>
      <c r="NI14" s="210"/>
      <c r="NJ14" s="104"/>
      <c r="NK14" s="104"/>
      <c r="NL14" s="211" t="s">
        <v>23</v>
      </c>
      <c r="NM14" s="211"/>
      <c r="NN14" s="211"/>
      <c r="NO14" s="211"/>
      <c r="NP14" s="129"/>
      <c r="NQ14" s="129"/>
      <c r="NR14" s="210" t="s">
        <v>34</v>
      </c>
      <c r="NS14" s="210"/>
      <c r="NT14" s="210"/>
      <c r="NU14" s="210"/>
      <c r="NV14" s="104"/>
      <c r="NW14" s="104"/>
      <c r="NX14" s="211" t="s">
        <v>24</v>
      </c>
      <c r="NY14" s="211"/>
      <c r="NZ14" s="211"/>
      <c r="OA14" s="211"/>
      <c r="OB14" s="129"/>
      <c r="OC14" s="129"/>
      <c r="OD14" s="210" t="s">
        <v>35</v>
      </c>
      <c r="OE14" s="210"/>
      <c r="OF14" s="210"/>
      <c r="OG14" s="210"/>
      <c r="OH14" s="104"/>
      <c r="OI14" s="104"/>
      <c r="OJ14" s="211" t="s">
        <v>25</v>
      </c>
      <c r="OK14" s="211"/>
      <c r="OL14" s="211"/>
      <c r="OM14" s="211"/>
      <c r="ON14" s="129"/>
      <c r="OO14" s="129"/>
      <c r="OP14" s="210" t="s">
        <v>36</v>
      </c>
      <c r="OQ14" s="210"/>
      <c r="OR14" s="210"/>
      <c r="OS14" s="210"/>
      <c r="OT14" s="104"/>
      <c r="OU14" s="104"/>
      <c r="OV14" s="211" t="s">
        <v>26</v>
      </c>
      <c r="OW14" s="211"/>
      <c r="OX14" s="211"/>
      <c r="OY14" s="211"/>
      <c r="OZ14" s="129"/>
      <c r="PA14" s="129"/>
      <c r="PB14" s="210" t="s">
        <v>37</v>
      </c>
      <c r="PC14" s="210"/>
      <c r="PD14" s="210"/>
      <c r="PE14" s="210"/>
      <c r="PF14" s="104"/>
      <c r="PG14" s="104"/>
      <c r="PH14" s="104"/>
      <c r="PI14" s="105"/>
      <c r="PJ14" s="103"/>
      <c r="PK14" s="104"/>
      <c r="PL14" s="104"/>
      <c r="PM14" s="104"/>
      <c r="PN14" s="210" t="s">
        <v>33</v>
      </c>
      <c r="PO14" s="210"/>
      <c r="PP14" s="210"/>
      <c r="PQ14" s="210"/>
      <c r="PR14" s="104"/>
      <c r="PS14" s="104"/>
      <c r="PT14" s="211" t="s">
        <v>23</v>
      </c>
      <c r="PU14" s="211"/>
      <c r="PV14" s="211"/>
      <c r="PW14" s="211"/>
      <c r="PX14" s="129"/>
      <c r="PY14" s="129"/>
      <c r="PZ14" s="210" t="s">
        <v>34</v>
      </c>
      <c r="QA14" s="210"/>
      <c r="QB14" s="210"/>
      <c r="QC14" s="210"/>
      <c r="QD14" s="104"/>
      <c r="QE14" s="104"/>
      <c r="QF14" s="211" t="s">
        <v>24</v>
      </c>
      <c r="QG14" s="211"/>
      <c r="QH14" s="211"/>
      <c r="QI14" s="211"/>
      <c r="QJ14" s="129"/>
      <c r="QK14" s="129"/>
      <c r="QL14" s="210" t="s">
        <v>35</v>
      </c>
      <c r="QM14" s="210"/>
      <c r="QN14" s="210"/>
      <c r="QO14" s="210"/>
      <c r="QP14" s="104"/>
      <c r="QQ14" s="104"/>
      <c r="QR14" s="211" t="s">
        <v>25</v>
      </c>
      <c r="QS14" s="211"/>
      <c r="QT14" s="211"/>
      <c r="QU14" s="211"/>
      <c r="QV14" s="129"/>
      <c r="QW14" s="129"/>
      <c r="QX14" s="210" t="s">
        <v>36</v>
      </c>
      <c r="QY14" s="210"/>
      <c r="QZ14" s="210"/>
      <c r="RA14" s="210"/>
      <c r="RB14" s="104"/>
      <c r="RC14" s="104"/>
      <c r="RD14" s="211" t="s">
        <v>26</v>
      </c>
      <c r="RE14" s="211"/>
      <c r="RF14" s="211"/>
      <c r="RG14" s="211"/>
      <c r="RH14" s="129"/>
      <c r="RI14" s="129"/>
      <c r="RJ14" s="210" t="s">
        <v>37</v>
      </c>
      <c r="RK14" s="210"/>
      <c r="RL14" s="210"/>
      <c r="RM14" s="210"/>
      <c r="RN14" s="104"/>
      <c r="RO14" s="104"/>
      <c r="RP14" s="104"/>
      <c r="RQ14" s="105"/>
      <c r="RR14" s="103"/>
      <c r="RS14" s="104"/>
      <c r="RT14" s="104"/>
      <c r="RU14" s="104"/>
      <c r="RV14" s="210" t="s">
        <v>33</v>
      </c>
      <c r="RW14" s="210"/>
      <c r="RX14" s="210"/>
      <c r="RY14" s="210"/>
      <c r="RZ14" s="104"/>
      <c r="SA14" s="104"/>
      <c r="SB14" s="211" t="s">
        <v>23</v>
      </c>
      <c r="SC14" s="211"/>
      <c r="SD14" s="211"/>
      <c r="SE14" s="211"/>
      <c r="SF14" s="129"/>
      <c r="SG14" s="129"/>
      <c r="SH14" s="210" t="s">
        <v>34</v>
      </c>
      <c r="SI14" s="210"/>
      <c r="SJ14" s="210"/>
      <c r="SK14" s="210"/>
      <c r="SL14" s="104"/>
      <c r="SM14" s="104"/>
      <c r="SN14" s="211" t="s">
        <v>24</v>
      </c>
      <c r="SO14" s="211"/>
      <c r="SP14" s="211"/>
      <c r="SQ14" s="211"/>
      <c r="SR14" s="129"/>
      <c r="SS14" s="129"/>
      <c r="ST14" s="210" t="s">
        <v>35</v>
      </c>
      <c r="SU14" s="210"/>
      <c r="SV14" s="210"/>
      <c r="SW14" s="210"/>
      <c r="SX14" s="104"/>
      <c r="SY14" s="104"/>
      <c r="SZ14" s="211" t="s">
        <v>25</v>
      </c>
      <c r="TA14" s="211"/>
      <c r="TB14" s="211"/>
      <c r="TC14" s="211"/>
      <c r="TD14" s="129"/>
      <c r="TE14" s="129"/>
      <c r="TF14" s="210" t="s">
        <v>36</v>
      </c>
      <c r="TG14" s="210"/>
      <c r="TH14" s="210"/>
      <c r="TI14" s="210"/>
      <c r="TJ14" s="104"/>
      <c r="TK14" s="104"/>
      <c r="TL14" s="211" t="s">
        <v>26</v>
      </c>
      <c r="TM14" s="211"/>
      <c r="TN14" s="211"/>
      <c r="TO14" s="211"/>
      <c r="TP14" s="129"/>
      <c r="TQ14" s="129"/>
      <c r="TR14" s="210" t="s">
        <v>37</v>
      </c>
      <c r="TS14" s="210"/>
      <c r="TT14" s="210"/>
      <c r="TU14" s="210"/>
      <c r="TV14" s="104"/>
      <c r="TW14" s="104"/>
      <c r="TX14" s="104"/>
      <c r="TY14" s="105"/>
      <c r="TZ14" s="103"/>
      <c r="UA14" s="104"/>
      <c r="UB14" s="104"/>
      <c r="UC14" s="104"/>
      <c r="UD14" s="210" t="s">
        <v>33</v>
      </c>
      <c r="UE14" s="210"/>
      <c r="UF14" s="210"/>
      <c r="UG14" s="210"/>
      <c r="UH14" s="104"/>
      <c r="UI14" s="104"/>
      <c r="UJ14" s="211" t="s">
        <v>23</v>
      </c>
      <c r="UK14" s="211"/>
      <c r="UL14" s="211"/>
      <c r="UM14" s="211"/>
      <c r="UN14" s="129"/>
      <c r="UO14" s="129"/>
      <c r="UP14" s="210" t="s">
        <v>34</v>
      </c>
      <c r="UQ14" s="210"/>
      <c r="UR14" s="210"/>
      <c r="US14" s="210"/>
      <c r="UT14" s="104"/>
      <c r="UU14" s="104"/>
      <c r="UV14" s="211" t="s">
        <v>24</v>
      </c>
      <c r="UW14" s="211"/>
      <c r="UX14" s="211"/>
      <c r="UY14" s="211"/>
      <c r="UZ14" s="129"/>
      <c r="VA14" s="129"/>
      <c r="VB14" s="210" t="s">
        <v>35</v>
      </c>
      <c r="VC14" s="210"/>
      <c r="VD14" s="210"/>
      <c r="VE14" s="210"/>
      <c r="VF14" s="104"/>
      <c r="VG14" s="104"/>
      <c r="VH14" s="211" t="s">
        <v>25</v>
      </c>
      <c r="VI14" s="211"/>
      <c r="VJ14" s="211"/>
      <c r="VK14" s="211"/>
      <c r="VL14" s="129"/>
      <c r="VM14" s="129"/>
      <c r="VN14" s="210" t="s">
        <v>36</v>
      </c>
      <c r="VO14" s="210"/>
      <c r="VP14" s="210"/>
      <c r="VQ14" s="210"/>
      <c r="VR14" s="104"/>
      <c r="VS14" s="104"/>
      <c r="VT14" s="211" t="s">
        <v>26</v>
      </c>
      <c r="VU14" s="211"/>
      <c r="VV14" s="211"/>
      <c r="VW14" s="211"/>
      <c r="VX14" s="129"/>
      <c r="VY14" s="129"/>
      <c r="VZ14" s="210" t="s">
        <v>37</v>
      </c>
      <c r="WA14" s="210"/>
      <c r="WB14" s="210"/>
      <c r="WC14" s="210"/>
      <c r="WD14" s="104"/>
      <c r="WE14" s="104"/>
      <c r="WF14" s="104"/>
      <c r="WG14" s="105"/>
      <c r="WH14" s="103"/>
      <c r="WI14" s="104"/>
      <c r="WJ14" s="104"/>
      <c r="WK14" s="104"/>
      <c r="WL14" s="210" t="s">
        <v>33</v>
      </c>
      <c r="WM14" s="210"/>
      <c r="WN14" s="210"/>
      <c r="WO14" s="210"/>
      <c r="WP14" s="104"/>
      <c r="WQ14" s="104"/>
      <c r="WR14" s="211" t="s">
        <v>23</v>
      </c>
      <c r="WS14" s="211"/>
      <c r="WT14" s="211"/>
      <c r="WU14" s="211"/>
      <c r="WV14" s="129"/>
      <c r="WW14" s="129"/>
      <c r="WX14" s="210" t="s">
        <v>34</v>
      </c>
      <c r="WY14" s="210"/>
      <c r="WZ14" s="210"/>
      <c r="XA14" s="210"/>
      <c r="XB14" s="104"/>
      <c r="XC14" s="104"/>
      <c r="XD14" s="211" t="s">
        <v>24</v>
      </c>
      <c r="XE14" s="211"/>
      <c r="XF14" s="211"/>
      <c r="XG14" s="211"/>
      <c r="XH14" s="129"/>
      <c r="XI14" s="129"/>
      <c r="XJ14" s="210" t="s">
        <v>35</v>
      </c>
      <c r="XK14" s="210"/>
      <c r="XL14" s="210"/>
      <c r="XM14" s="210"/>
      <c r="XN14" s="104"/>
      <c r="XO14" s="104"/>
      <c r="XP14" s="211" t="s">
        <v>25</v>
      </c>
      <c r="XQ14" s="211"/>
      <c r="XR14" s="211"/>
      <c r="XS14" s="211"/>
      <c r="XT14" s="129"/>
      <c r="XU14" s="129"/>
      <c r="XV14" s="210" t="s">
        <v>36</v>
      </c>
      <c r="XW14" s="210"/>
      <c r="XX14" s="210"/>
      <c r="XY14" s="210"/>
      <c r="XZ14" s="104"/>
      <c r="YA14" s="104"/>
      <c r="YB14" s="211" t="s">
        <v>26</v>
      </c>
      <c r="YC14" s="211"/>
      <c r="YD14" s="211"/>
      <c r="YE14" s="211"/>
      <c r="YF14" s="129"/>
      <c r="YG14" s="129"/>
      <c r="YH14" s="210" t="s">
        <v>37</v>
      </c>
      <c r="YI14" s="210"/>
      <c r="YJ14" s="210"/>
      <c r="YK14" s="210"/>
      <c r="YL14" s="104"/>
      <c r="YM14" s="104"/>
      <c r="YN14" s="104"/>
      <c r="YO14" s="105"/>
      <c r="YP14" s="103"/>
      <c r="YQ14" s="104"/>
      <c r="YR14" s="104"/>
      <c r="YS14" s="104"/>
      <c r="YT14" s="210" t="s">
        <v>33</v>
      </c>
      <c r="YU14" s="210"/>
      <c r="YV14" s="210"/>
      <c r="YW14" s="210"/>
      <c r="YX14" s="104"/>
      <c r="YY14" s="104"/>
      <c r="YZ14" s="211" t="s">
        <v>23</v>
      </c>
      <c r="ZA14" s="211"/>
      <c r="ZB14" s="211"/>
      <c r="ZC14" s="211"/>
      <c r="ZD14" s="129"/>
      <c r="ZE14" s="129"/>
      <c r="ZF14" s="210" t="s">
        <v>34</v>
      </c>
      <c r="ZG14" s="210"/>
      <c r="ZH14" s="210"/>
      <c r="ZI14" s="210"/>
      <c r="ZJ14" s="104"/>
      <c r="ZK14" s="104"/>
      <c r="ZL14" s="211" t="s">
        <v>24</v>
      </c>
      <c r="ZM14" s="211"/>
      <c r="ZN14" s="211"/>
      <c r="ZO14" s="211"/>
      <c r="ZP14" s="129"/>
      <c r="ZQ14" s="129"/>
      <c r="ZR14" s="210" t="s">
        <v>35</v>
      </c>
      <c r="ZS14" s="210"/>
      <c r="ZT14" s="210"/>
      <c r="ZU14" s="210"/>
      <c r="ZV14" s="104"/>
      <c r="ZW14" s="104"/>
      <c r="ZX14" s="211" t="s">
        <v>25</v>
      </c>
      <c r="ZY14" s="211"/>
      <c r="ZZ14" s="211"/>
      <c r="AAA14" s="211"/>
      <c r="AAB14" s="129"/>
      <c r="AAC14" s="129"/>
      <c r="AAD14" s="210" t="s">
        <v>36</v>
      </c>
      <c r="AAE14" s="210"/>
      <c r="AAF14" s="210"/>
      <c r="AAG14" s="210"/>
      <c r="AAH14" s="104"/>
      <c r="AAI14" s="104"/>
      <c r="AAJ14" s="211" t="s">
        <v>26</v>
      </c>
      <c r="AAK14" s="211"/>
      <c r="AAL14" s="211"/>
      <c r="AAM14" s="211"/>
      <c r="AAN14" s="129"/>
      <c r="AAO14" s="129"/>
      <c r="AAP14" s="210" t="s">
        <v>37</v>
      </c>
      <c r="AAQ14" s="210"/>
      <c r="AAR14" s="210"/>
      <c r="AAS14" s="210"/>
      <c r="AAT14" s="104"/>
      <c r="AAU14" s="104"/>
      <c r="AAV14" s="104"/>
      <c r="AAW14" s="105"/>
      <c r="AAX14" s="103"/>
      <c r="AAY14" s="104"/>
      <c r="AAZ14" s="104"/>
      <c r="ABA14" s="104"/>
      <c r="ABB14" s="210" t="s">
        <v>33</v>
      </c>
      <c r="ABC14" s="210"/>
      <c r="ABD14" s="210"/>
      <c r="ABE14" s="210"/>
      <c r="ABF14" s="104"/>
      <c r="ABG14" s="104"/>
      <c r="ABH14" s="211" t="s">
        <v>23</v>
      </c>
      <c r="ABI14" s="211"/>
      <c r="ABJ14" s="211"/>
      <c r="ABK14" s="211"/>
      <c r="ABL14" s="129"/>
      <c r="ABM14" s="129"/>
      <c r="ABN14" s="210" t="s">
        <v>34</v>
      </c>
      <c r="ABO14" s="210"/>
      <c r="ABP14" s="210"/>
      <c r="ABQ14" s="210"/>
      <c r="ABR14" s="104"/>
      <c r="ABS14" s="104"/>
      <c r="ABT14" s="211" t="s">
        <v>24</v>
      </c>
      <c r="ABU14" s="211"/>
      <c r="ABV14" s="211"/>
      <c r="ABW14" s="211"/>
      <c r="ABX14" s="129"/>
      <c r="ABY14" s="129"/>
      <c r="ABZ14" s="210" t="s">
        <v>35</v>
      </c>
      <c r="ACA14" s="210"/>
      <c r="ACB14" s="210"/>
      <c r="ACC14" s="210"/>
      <c r="ACD14" s="104"/>
      <c r="ACE14" s="104"/>
      <c r="ACF14" s="211" t="s">
        <v>25</v>
      </c>
      <c r="ACG14" s="211"/>
      <c r="ACH14" s="211"/>
      <c r="ACI14" s="211"/>
      <c r="ACJ14" s="129"/>
      <c r="ACK14" s="129"/>
      <c r="ACL14" s="210" t="s">
        <v>36</v>
      </c>
      <c r="ACM14" s="210"/>
      <c r="ACN14" s="210"/>
      <c r="ACO14" s="210"/>
      <c r="ACP14" s="104"/>
      <c r="ACQ14" s="104"/>
      <c r="ACR14" s="211" t="s">
        <v>26</v>
      </c>
      <c r="ACS14" s="211"/>
      <c r="ACT14" s="211"/>
      <c r="ACU14" s="211"/>
      <c r="ACV14" s="129"/>
      <c r="ACW14" s="129"/>
      <c r="ACX14" s="210" t="s">
        <v>37</v>
      </c>
      <c r="ACY14" s="210"/>
      <c r="ACZ14" s="210"/>
      <c r="ADA14" s="210"/>
      <c r="ADB14" s="104"/>
      <c r="ADC14" s="104"/>
      <c r="ADD14" s="104"/>
      <c r="ADE14" s="105"/>
      <c r="ADF14" s="103"/>
      <c r="ADG14" s="104"/>
      <c r="ADH14" s="104"/>
      <c r="ADI14" s="104"/>
      <c r="ADJ14" s="210" t="s">
        <v>33</v>
      </c>
      <c r="ADK14" s="210"/>
      <c r="ADL14" s="210"/>
      <c r="ADM14" s="210"/>
      <c r="ADN14" s="104"/>
      <c r="ADO14" s="104"/>
      <c r="ADP14" s="211" t="s">
        <v>23</v>
      </c>
      <c r="ADQ14" s="211"/>
      <c r="ADR14" s="211"/>
      <c r="ADS14" s="211"/>
      <c r="ADT14" s="129"/>
      <c r="ADU14" s="129"/>
      <c r="ADV14" s="210" t="s">
        <v>34</v>
      </c>
      <c r="ADW14" s="210"/>
      <c r="ADX14" s="210"/>
      <c r="ADY14" s="210"/>
      <c r="ADZ14" s="104"/>
      <c r="AEA14" s="104"/>
      <c r="AEB14" s="211" t="s">
        <v>24</v>
      </c>
      <c r="AEC14" s="211"/>
      <c r="AED14" s="211"/>
      <c r="AEE14" s="211"/>
      <c r="AEF14" s="129"/>
      <c r="AEG14" s="129"/>
      <c r="AEH14" s="210" t="s">
        <v>35</v>
      </c>
      <c r="AEI14" s="210"/>
      <c r="AEJ14" s="210"/>
      <c r="AEK14" s="210"/>
      <c r="AEL14" s="104"/>
      <c r="AEM14" s="104"/>
      <c r="AEN14" s="211" t="s">
        <v>25</v>
      </c>
      <c r="AEO14" s="211"/>
      <c r="AEP14" s="211"/>
      <c r="AEQ14" s="211"/>
      <c r="AER14" s="129"/>
      <c r="AES14" s="129"/>
      <c r="AET14" s="210" t="s">
        <v>36</v>
      </c>
      <c r="AEU14" s="210"/>
      <c r="AEV14" s="210"/>
      <c r="AEW14" s="210"/>
      <c r="AEX14" s="104"/>
      <c r="AEY14" s="104"/>
      <c r="AEZ14" s="211" t="s">
        <v>26</v>
      </c>
      <c r="AFA14" s="211"/>
      <c r="AFB14" s="211"/>
      <c r="AFC14" s="211"/>
      <c r="AFD14" s="129"/>
      <c r="AFE14" s="129"/>
      <c r="AFF14" s="210" t="s">
        <v>37</v>
      </c>
      <c r="AFG14" s="210"/>
      <c r="AFH14" s="210"/>
      <c r="AFI14" s="210"/>
      <c r="AFJ14" s="104"/>
      <c r="AFK14" s="104"/>
      <c r="AFL14" s="104"/>
      <c r="AFM14" s="105"/>
      <c r="AFN14" s="103"/>
      <c r="AFO14" s="104"/>
      <c r="AFP14" s="104"/>
      <c r="AFQ14" s="104"/>
      <c r="AFR14" s="210" t="s">
        <v>33</v>
      </c>
      <c r="AFS14" s="210"/>
      <c r="AFT14" s="210"/>
      <c r="AFU14" s="210"/>
      <c r="AFV14" s="104"/>
      <c r="AFW14" s="104"/>
      <c r="AFX14" s="211" t="s">
        <v>23</v>
      </c>
      <c r="AFY14" s="211"/>
      <c r="AFZ14" s="211"/>
      <c r="AGA14" s="211"/>
      <c r="AGB14" s="129"/>
      <c r="AGC14" s="129"/>
      <c r="AGD14" s="210" t="s">
        <v>34</v>
      </c>
      <c r="AGE14" s="210"/>
      <c r="AGF14" s="210"/>
      <c r="AGG14" s="210"/>
      <c r="AGH14" s="104"/>
      <c r="AGI14" s="104"/>
      <c r="AGJ14" s="211" t="s">
        <v>24</v>
      </c>
      <c r="AGK14" s="211"/>
      <c r="AGL14" s="211"/>
      <c r="AGM14" s="211"/>
      <c r="AGN14" s="129"/>
      <c r="AGO14" s="129"/>
      <c r="AGP14" s="210" t="s">
        <v>35</v>
      </c>
      <c r="AGQ14" s="210"/>
      <c r="AGR14" s="210"/>
      <c r="AGS14" s="210"/>
      <c r="AGT14" s="104"/>
      <c r="AGU14" s="104"/>
      <c r="AGV14" s="211" t="s">
        <v>25</v>
      </c>
      <c r="AGW14" s="211"/>
      <c r="AGX14" s="211"/>
      <c r="AGY14" s="211"/>
      <c r="AGZ14" s="129"/>
      <c r="AHA14" s="129"/>
      <c r="AHB14" s="210" t="s">
        <v>36</v>
      </c>
      <c r="AHC14" s="210"/>
      <c r="AHD14" s="210"/>
      <c r="AHE14" s="210"/>
      <c r="AHF14" s="104"/>
      <c r="AHG14" s="104"/>
      <c r="AHH14" s="211" t="s">
        <v>26</v>
      </c>
      <c r="AHI14" s="211"/>
      <c r="AHJ14" s="211"/>
      <c r="AHK14" s="211"/>
      <c r="AHL14" s="129"/>
      <c r="AHM14" s="129"/>
      <c r="AHN14" s="210" t="s">
        <v>37</v>
      </c>
      <c r="AHO14" s="210"/>
      <c r="AHP14" s="210"/>
      <c r="AHQ14" s="210"/>
      <c r="AHR14" s="104"/>
      <c r="AHS14" s="104"/>
      <c r="AHT14" s="104"/>
      <c r="AHU14" s="105"/>
      <c r="AHV14" s="103"/>
      <c r="AHW14" s="104"/>
      <c r="AHX14" s="104"/>
      <c r="AHY14" s="104"/>
      <c r="AHZ14" s="210" t="s">
        <v>33</v>
      </c>
      <c r="AIA14" s="210"/>
      <c r="AIB14" s="210"/>
      <c r="AIC14" s="210"/>
      <c r="AID14" s="104"/>
      <c r="AIE14" s="104"/>
      <c r="AIF14" s="211" t="s">
        <v>23</v>
      </c>
      <c r="AIG14" s="211"/>
      <c r="AIH14" s="211"/>
      <c r="AII14" s="211"/>
      <c r="AIJ14" s="129"/>
      <c r="AIK14" s="129"/>
      <c r="AIL14" s="210" t="s">
        <v>34</v>
      </c>
      <c r="AIM14" s="210"/>
      <c r="AIN14" s="210"/>
      <c r="AIO14" s="210"/>
      <c r="AIP14" s="104"/>
      <c r="AIQ14" s="104"/>
      <c r="AIR14" s="211" t="s">
        <v>24</v>
      </c>
      <c r="AIS14" s="211"/>
      <c r="AIT14" s="211"/>
      <c r="AIU14" s="211"/>
      <c r="AIV14" s="129"/>
      <c r="AIW14" s="129"/>
      <c r="AIX14" s="210" t="s">
        <v>35</v>
      </c>
      <c r="AIY14" s="210"/>
      <c r="AIZ14" s="210"/>
      <c r="AJA14" s="210"/>
      <c r="AJB14" s="104"/>
      <c r="AJC14" s="104"/>
      <c r="AJD14" s="211" t="s">
        <v>25</v>
      </c>
      <c r="AJE14" s="211"/>
      <c r="AJF14" s="211"/>
      <c r="AJG14" s="211"/>
      <c r="AJH14" s="129"/>
      <c r="AJI14" s="129"/>
      <c r="AJJ14" s="210" t="s">
        <v>36</v>
      </c>
      <c r="AJK14" s="210"/>
      <c r="AJL14" s="210"/>
      <c r="AJM14" s="210"/>
      <c r="AJN14" s="104"/>
      <c r="AJO14" s="104"/>
      <c r="AJP14" s="211" t="s">
        <v>26</v>
      </c>
      <c r="AJQ14" s="211"/>
      <c r="AJR14" s="211"/>
      <c r="AJS14" s="211"/>
      <c r="AJT14" s="129"/>
      <c r="AJU14" s="129"/>
      <c r="AJV14" s="210" t="s">
        <v>37</v>
      </c>
      <c r="AJW14" s="210"/>
      <c r="AJX14" s="210"/>
      <c r="AJY14" s="210"/>
      <c r="AJZ14" s="104"/>
      <c r="AKA14" s="104"/>
      <c r="AKB14" s="104"/>
      <c r="AKC14" s="105"/>
      <c r="AKD14" s="103"/>
      <c r="AKE14" s="104"/>
      <c r="AKF14" s="104"/>
      <c r="AKG14" s="104"/>
      <c r="AKH14" s="210" t="s">
        <v>33</v>
      </c>
      <c r="AKI14" s="210"/>
      <c r="AKJ14" s="210"/>
      <c r="AKK14" s="210"/>
      <c r="AKL14" s="104"/>
      <c r="AKM14" s="104"/>
      <c r="AKN14" s="211" t="s">
        <v>23</v>
      </c>
      <c r="AKO14" s="211"/>
      <c r="AKP14" s="211"/>
      <c r="AKQ14" s="211"/>
      <c r="AKR14" s="129"/>
      <c r="AKS14" s="129"/>
      <c r="AKT14" s="210" t="s">
        <v>34</v>
      </c>
      <c r="AKU14" s="210"/>
      <c r="AKV14" s="210"/>
      <c r="AKW14" s="210"/>
      <c r="AKX14" s="104"/>
      <c r="AKY14" s="104"/>
      <c r="AKZ14" s="211" t="s">
        <v>24</v>
      </c>
      <c r="ALA14" s="211"/>
      <c r="ALB14" s="211"/>
      <c r="ALC14" s="211"/>
      <c r="ALD14" s="129"/>
      <c r="ALE14" s="129"/>
      <c r="ALF14" s="210" t="s">
        <v>35</v>
      </c>
      <c r="ALG14" s="210"/>
      <c r="ALH14" s="210"/>
      <c r="ALI14" s="210"/>
      <c r="ALJ14" s="104"/>
      <c r="ALK14" s="104"/>
      <c r="ALL14" s="211" t="s">
        <v>25</v>
      </c>
      <c r="ALM14" s="211"/>
      <c r="ALN14" s="211"/>
      <c r="ALO14" s="211"/>
      <c r="ALP14" s="129"/>
      <c r="ALQ14" s="129"/>
      <c r="ALR14" s="210" t="s">
        <v>36</v>
      </c>
      <c r="ALS14" s="210"/>
      <c r="ALT14" s="210"/>
      <c r="ALU14" s="210"/>
      <c r="ALV14" s="104"/>
      <c r="ALW14" s="104"/>
      <c r="ALX14" s="211" t="s">
        <v>26</v>
      </c>
      <c r="ALY14" s="211"/>
      <c r="ALZ14" s="211"/>
      <c r="AMA14" s="211"/>
      <c r="AMB14" s="129"/>
      <c r="AMC14" s="129"/>
      <c r="AMD14" s="210" t="s">
        <v>37</v>
      </c>
      <c r="AME14" s="210"/>
      <c r="AMF14" s="210"/>
      <c r="AMG14" s="210"/>
      <c r="AMH14" s="104"/>
      <c r="AMI14" s="104"/>
      <c r="AMJ14" s="104"/>
      <c r="AMK14" s="105"/>
      <c r="AML14" s="103"/>
      <c r="AMM14" s="104"/>
      <c r="AMN14" s="104"/>
      <c r="AMO14" s="104"/>
      <c r="AMP14" s="210" t="s">
        <v>33</v>
      </c>
      <c r="AMQ14" s="210"/>
      <c r="AMR14" s="210"/>
      <c r="AMS14" s="210"/>
      <c r="AMT14" s="104"/>
      <c r="AMU14" s="104"/>
      <c r="AMV14" s="211" t="s">
        <v>23</v>
      </c>
      <c r="AMW14" s="211"/>
      <c r="AMX14" s="211"/>
      <c r="AMY14" s="211"/>
      <c r="AMZ14" s="129"/>
      <c r="ANA14" s="129"/>
      <c r="ANB14" s="210" t="s">
        <v>34</v>
      </c>
      <c r="ANC14" s="210"/>
      <c r="AND14" s="210"/>
      <c r="ANE14" s="210"/>
      <c r="ANF14" s="104"/>
      <c r="ANG14" s="104"/>
      <c r="ANH14" s="211" t="s">
        <v>24</v>
      </c>
      <c r="ANI14" s="211"/>
      <c r="ANJ14" s="211"/>
      <c r="ANK14" s="211"/>
      <c r="ANL14" s="129"/>
      <c r="ANM14" s="129"/>
      <c r="ANN14" s="210" t="s">
        <v>35</v>
      </c>
      <c r="ANO14" s="210"/>
      <c r="ANP14" s="210"/>
      <c r="ANQ14" s="210"/>
      <c r="ANR14" s="104"/>
      <c r="ANS14" s="104"/>
      <c r="ANT14" s="211" t="s">
        <v>25</v>
      </c>
      <c r="ANU14" s="211"/>
      <c r="ANV14" s="211"/>
      <c r="ANW14" s="211"/>
      <c r="ANX14" s="129"/>
      <c r="ANY14" s="129"/>
      <c r="ANZ14" s="210" t="s">
        <v>36</v>
      </c>
      <c r="AOA14" s="210"/>
      <c r="AOB14" s="210"/>
      <c r="AOC14" s="210"/>
      <c r="AOD14" s="104"/>
      <c r="AOE14" s="104"/>
      <c r="AOF14" s="211" t="s">
        <v>26</v>
      </c>
      <c r="AOG14" s="211"/>
      <c r="AOH14" s="211"/>
      <c r="AOI14" s="211"/>
      <c r="AOJ14" s="129"/>
      <c r="AOK14" s="129"/>
      <c r="AOL14" s="210" t="s">
        <v>37</v>
      </c>
      <c r="AOM14" s="210"/>
      <c r="AON14" s="210"/>
      <c r="AOO14" s="210"/>
      <c r="AOP14" s="104"/>
      <c r="AOQ14" s="104"/>
      <c r="AOR14" s="104"/>
      <c r="AOS14" s="105"/>
      <c r="AOT14" s="103"/>
      <c r="AOU14" s="104"/>
      <c r="AOV14" s="104"/>
      <c r="AOW14" s="104"/>
      <c r="AOX14" s="210" t="s">
        <v>33</v>
      </c>
      <c r="AOY14" s="210"/>
      <c r="AOZ14" s="210"/>
      <c r="APA14" s="210"/>
      <c r="APB14" s="104"/>
      <c r="APC14" s="104"/>
      <c r="APD14" s="211" t="s">
        <v>23</v>
      </c>
      <c r="APE14" s="211"/>
      <c r="APF14" s="211"/>
      <c r="APG14" s="211"/>
      <c r="APH14" s="129"/>
      <c r="API14" s="129"/>
      <c r="APJ14" s="210" t="s">
        <v>34</v>
      </c>
      <c r="APK14" s="210"/>
      <c r="APL14" s="210"/>
      <c r="APM14" s="210"/>
      <c r="APN14" s="104"/>
      <c r="APO14" s="104"/>
      <c r="APP14" s="211" t="s">
        <v>24</v>
      </c>
      <c r="APQ14" s="211"/>
      <c r="APR14" s="211"/>
      <c r="APS14" s="211"/>
      <c r="APT14" s="129"/>
      <c r="APU14" s="129"/>
      <c r="APV14" s="210" t="s">
        <v>35</v>
      </c>
      <c r="APW14" s="210"/>
      <c r="APX14" s="210"/>
      <c r="APY14" s="210"/>
      <c r="APZ14" s="104"/>
      <c r="AQA14" s="104"/>
      <c r="AQB14" s="211" t="s">
        <v>25</v>
      </c>
      <c r="AQC14" s="211"/>
      <c r="AQD14" s="211"/>
      <c r="AQE14" s="211"/>
      <c r="AQF14" s="129"/>
      <c r="AQG14" s="129"/>
      <c r="AQH14" s="210" t="s">
        <v>36</v>
      </c>
      <c r="AQI14" s="210"/>
      <c r="AQJ14" s="210"/>
      <c r="AQK14" s="210"/>
      <c r="AQL14" s="104"/>
      <c r="AQM14" s="104"/>
      <c r="AQN14" s="211" t="s">
        <v>26</v>
      </c>
      <c r="AQO14" s="211"/>
      <c r="AQP14" s="211"/>
      <c r="AQQ14" s="211"/>
      <c r="AQR14" s="129"/>
      <c r="AQS14" s="129"/>
      <c r="AQT14" s="210" t="s">
        <v>37</v>
      </c>
      <c r="AQU14" s="210"/>
      <c r="AQV14" s="210"/>
      <c r="AQW14" s="210"/>
      <c r="AQX14" s="104"/>
      <c r="AQY14" s="104"/>
      <c r="AQZ14" s="104"/>
      <c r="ARA14" s="105"/>
      <c r="ARB14" s="103"/>
      <c r="ARC14" s="104"/>
      <c r="ARD14" s="104"/>
      <c r="ARE14" s="104"/>
      <c r="ARF14" s="210" t="s">
        <v>33</v>
      </c>
      <c r="ARG14" s="210"/>
      <c r="ARH14" s="210"/>
      <c r="ARI14" s="210"/>
      <c r="ARJ14" s="104"/>
      <c r="ARK14" s="104"/>
      <c r="ARL14" s="211" t="s">
        <v>23</v>
      </c>
      <c r="ARM14" s="211"/>
      <c r="ARN14" s="211"/>
      <c r="ARO14" s="211"/>
      <c r="ARP14" s="129"/>
      <c r="ARQ14" s="129"/>
      <c r="ARR14" s="210" t="s">
        <v>34</v>
      </c>
      <c r="ARS14" s="210"/>
      <c r="ART14" s="210"/>
      <c r="ARU14" s="210"/>
      <c r="ARV14" s="104"/>
      <c r="ARW14" s="104"/>
      <c r="ARX14" s="211" t="s">
        <v>24</v>
      </c>
      <c r="ARY14" s="211"/>
      <c r="ARZ14" s="211"/>
      <c r="ASA14" s="211"/>
      <c r="ASB14" s="129"/>
      <c r="ASC14" s="129"/>
      <c r="ASD14" s="210" t="s">
        <v>35</v>
      </c>
      <c r="ASE14" s="210"/>
      <c r="ASF14" s="210"/>
      <c r="ASG14" s="210"/>
      <c r="ASH14" s="104"/>
      <c r="ASI14" s="104"/>
      <c r="ASJ14" s="211" t="s">
        <v>25</v>
      </c>
      <c r="ASK14" s="211"/>
      <c r="ASL14" s="211"/>
      <c r="ASM14" s="211"/>
      <c r="ASN14" s="129"/>
      <c r="ASO14" s="129"/>
      <c r="ASP14" s="210" t="s">
        <v>36</v>
      </c>
      <c r="ASQ14" s="210"/>
      <c r="ASR14" s="210"/>
      <c r="ASS14" s="210"/>
      <c r="AST14" s="104"/>
      <c r="ASU14" s="104"/>
      <c r="ASV14" s="211" t="s">
        <v>26</v>
      </c>
      <c r="ASW14" s="211"/>
      <c r="ASX14" s="211"/>
      <c r="ASY14" s="211"/>
      <c r="ASZ14" s="129"/>
      <c r="ATA14" s="129"/>
      <c r="ATB14" s="210" t="s">
        <v>37</v>
      </c>
      <c r="ATC14" s="210"/>
      <c r="ATD14" s="210"/>
      <c r="ATE14" s="210"/>
      <c r="ATF14" s="104"/>
      <c r="ATG14" s="104"/>
      <c r="ATH14" s="104"/>
      <c r="ATI14" s="105"/>
      <c r="ATJ14" s="103"/>
      <c r="ATK14" s="104"/>
      <c r="ATL14" s="104"/>
      <c r="ATM14" s="104"/>
      <c r="ATN14" s="210" t="s">
        <v>33</v>
      </c>
      <c r="ATO14" s="210"/>
      <c r="ATP14" s="210"/>
      <c r="ATQ14" s="210"/>
      <c r="ATR14" s="104"/>
      <c r="ATS14" s="104"/>
      <c r="ATT14" s="211" t="s">
        <v>23</v>
      </c>
      <c r="ATU14" s="211"/>
      <c r="ATV14" s="211"/>
      <c r="ATW14" s="211"/>
      <c r="ATX14" s="129"/>
      <c r="ATY14" s="129"/>
      <c r="ATZ14" s="210" t="s">
        <v>34</v>
      </c>
      <c r="AUA14" s="210"/>
      <c r="AUB14" s="210"/>
      <c r="AUC14" s="210"/>
      <c r="AUD14" s="104"/>
      <c r="AUE14" s="104"/>
      <c r="AUF14" s="211" t="s">
        <v>24</v>
      </c>
      <c r="AUG14" s="211"/>
      <c r="AUH14" s="211"/>
      <c r="AUI14" s="211"/>
      <c r="AUJ14" s="129"/>
      <c r="AUK14" s="129"/>
      <c r="AUL14" s="210" t="s">
        <v>35</v>
      </c>
      <c r="AUM14" s="210"/>
      <c r="AUN14" s="210"/>
      <c r="AUO14" s="210"/>
      <c r="AUP14" s="104"/>
      <c r="AUQ14" s="104"/>
      <c r="AUR14" s="211" t="s">
        <v>25</v>
      </c>
      <c r="AUS14" s="211"/>
      <c r="AUT14" s="211"/>
      <c r="AUU14" s="211"/>
      <c r="AUV14" s="129"/>
      <c r="AUW14" s="129"/>
      <c r="AUX14" s="210" t="s">
        <v>36</v>
      </c>
      <c r="AUY14" s="210"/>
      <c r="AUZ14" s="210"/>
      <c r="AVA14" s="210"/>
      <c r="AVB14" s="104"/>
      <c r="AVC14" s="104"/>
      <c r="AVD14" s="211" t="s">
        <v>26</v>
      </c>
      <c r="AVE14" s="211"/>
      <c r="AVF14" s="211"/>
      <c r="AVG14" s="211"/>
      <c r="AVH14" s="129"/>
      <c r="AVI14" s="129"/>
      <c r="AVJ14" s="210" t="s">
        <v>37</v>
      </c>
      <c r="AVK14" s="210"/>
      <c r="AVL14" s="210"/>
      <c r="AVM14" s="210"/>
      <c r="AVN14" s="104"/>
      <c r="AVO14" s="104"/>
      <c r="AVP14" s="104"/>
      <c r="AVQ14" s="105"/>
      <c r="AVR14" s="103"/>
      <c r="AVS14" s="104"/>
      <c r="AVT14" s="104"/>
      <c r="AVU14" s="104"/>
      <c r="AVV14" s="210" t="s">
        <v>33</v>
      </c>
      <c r="AVW14" s="210"/>
      <c r="AVX14" s="210"/>
      <c r="AVY14" s="210"/>
      <c r="AVZ14" s="104"/>
      <c r="AWA14" s="104"/>
      <c r="AWB14" s="211" t="s">
        <v>23</v>
      </c>
      <c r="AWC14" s="211"/>
      <c r="AWD14" s="211"/>
      <c r="AWE14" s="211"/>
      <c r="AWF14" s="129"/>
      <c r="AWG14" s="129"/>
      <c r="AWH14" s="210" t="s">
        <v>34</v>
      </c>
      <c r="AWI14" s="210"/>
      <c r="AWJ14" s="210"/>
      <c r="AWK14" s="210"/>
      <c r="AWL14" s="104"/>
      <c r="AWM14" s="104"/>
      <c r="AWN14" s="211" t="s">
        <v>24</v>
      </c>
      <c r="AWO14" s="211"/>
      <c r="AWP14" s="211"/>
      <c r="AWQ14" s="211"/>
      <c r="AWR14" s="129"/>
      <c r="AWS14" s="129"/>
      <c r="AWT14" s="210" t="s">
        <v>35</v>
      </c>
      <c r="AWU14" s="210"/>
      <c r="AWV14" s="210"/>
      <c r="AWW14" s="210"/>
      <c r="AWX14" s="104"/>
      <c r="AWY14" s="104"/>
      <c r="AWZ14" s="211" t="s">
        <v>25</v>
      </c>
      <c r="AXA14" s="211"/>
      <c r="AXB14" s="211"/>
      <c r="AXC14" s="211"/>
      <c r="AXD14" s="129"/>
      <c r="AXE14" s="129"/>
      <c r="AXF14" s="210" t="s">
        <v>36</v>
      </c>
      <c r="AXG14" s="210"/>
      <c r="AXH14" s="210"/>
      <c r="AXI14" s="210"/>
      <c r="AXJ14" s="104"/>
      <c r="AXK14" s="104"/>
      <c r="AXL14" s="211" t="s">
        <v>26</v>
      </c>
      <c r="AXM14" s="211"/>
      <c r="AXN14" s="211"/>
      <c r="AXO14" s="211"/>
      <c r="AXP14" s="129"/>
      <c r="AXQ14" s="129"/>
      <c r="AXR14" s="210" t="s">
        <v>37</v>
      </c>
      <c r="AXS14" s="210"/>
      <c r="AXT14" s="210"/>
      <c r="AXU14" s="210"/>
      <c r="AXV14" s="104"/>
      <c r="AXW14" s="104"/>
      <c r="AXX14" s="104"/>
      <c r="AXY14" s="105"/>
      <c r="AXZ14" s="103"/>
      <c r="AYA14" s="104"/>
      <c r="AYB14" s="104"/>
      <c r="AYC14" s="104"/>
      <c r="AYD14" s="210" t="s">
        <v>33</v>
      </c>
      <c r="AYE14" s="210"/>
      <c r="AYF14" s="210"/>
      <c r="AYG14" s="210"/>
      <c r="AYH14" s="104"/>
      <c r="AYI14" s="104"/>
      <c r="AYJ14" s="211" t="s">
        <v>23</v>
      </c>
      <c r="AYK14" s="211"/>
      <c r="AYL14" s="211"/>
      <c r="AYM14" s="211"/>
      <c r="AYN14" s="129"/>
      <c r="AYO14" s="129"/>
      <c r="AYP14" s="210" t="s">
        <v>34</v>
      </c>
      <c r="AYQ14" s="210"/>
      <c r="AYR14" s="210"/>
      <c r="AYS14" s="210"/>
      <c r="AYT14" s="104"/>
      <c r="AYU14" s="104"/>
      <c r="AYV14" s="211" t="s">
        <v>24</v>
      </c>
      <c r="AYW14" s="211"/>
      <c r="AYX14" s="211"/>
      <c r="AYY14" s="211"/>
      <c r="AYZ14" s="129"/>
      <c r="AZA14" s="129"/>
      <c r="AZB14" s="210" t="s">
        <v>35</v>
      </c>
      <c r="AZC14" s="210"/>
      <c r="AZD14" s="210"/>
      <c r="AZE14" s="210"/>
      <c r="AZF14" s="104"/>
      <c r="AZG14" s="104"/>
      <c r="AZH14" s="211" t="s">
        <v>25</v>
      </c>
      <c r="AZI14" s="211"/>
      <c r="AZJ14" s="211"/>
      <c r="AZK14" s="211"/>
      <c r="AZL14" s="129"/>
      <c r="AZM14" s="129"/>
      <c r="AZN14" s="210" t="s">
        <v>36</v>
      </c>
      <c r="AZO14" s="210"/>
      <c r="AZP14" s="210"/>
      <c r="AZQ14" s="210"/>
      <c r="AZR14" s="104"/>
      <c r="AZS14" s="104"/>
      <c r="AZT14" s="211" t="s">
        <v>26</v>
      </c>
      <c r="AZU14" s="211"/>
      <c r="AZV14" s="211"/>
      <c r="AZW14" s="211"/>
      <c r="AZX14" s="129"/>
      <c r="AZY14" s="129"/>
      <c r="AZZ14" s="210" t="s">
        <v>37</v>
      </c>
      <c r="BAA14" s="210"/>
      <c r="BAB14" s="210"/>
      <c r="BAC14" s="210"/>
      <c r="BAD14" s="104"/>
      <c r="BAE14" s="104"/>
      <c r="BAF14" s="104"/>
      <c r="BAG14" s="105"/>
      <c r="BAH14" s="103"/>
      <c r="BAI14" s="104"/>
      <c r="BAJ14" s="104"/>
      <c r="BAK14" s="104"/>
      <c r="BAL14" s="210" t="s">
        <v>33</v>
      </c>
      <c r="BAM14" s="210"/>
      <c r="BAN14" s="210"/>
      <c r="BAO14" s="210"/>
      <c r="BAP14" s="104"/>
      <c r="BAQ14" s="104"/>
      <c r="BAR14" s="211" t="s">
        <v>23</v>
      </c>
      <c r="BAS14" s="211"/>
      <c r="BAT14" s="211"/>
      <c r="BAU14" s="211"/>
      <c r="BAV14" s="129"/>
      <c r="BAW14" s="129"/>
      <c r="BAX14" s="210" t="s">
        <v>34</v>
      </c>
      <c r="BAY14" s="210"/>
      <c r="BAZ14" s="210"/>
      <c r="BBA14" s="210"/>
      <c r="BBB14" s="104"/>
      <c r="BBC14" s="104"/>
      <c r="BBD14" s="211" t="s">
        <v>24</v>
      </c>
      <c r="BBE14" s="211"/>
      <c r="BBF14" s="211"/>
      <c r="BBG14" s="211"/>
      <c r="BBH14" s="129"/>
      <c r="BBI14" s="129"/>
      <c r="BBJ14" s="210" t="s">
        <v>35</v>
      </c>
      <c r="BBK14" s="210"/>
      <c r="BBL14" s="210"/>
      <c r="BBM14" s="210"/>
      <c r="BBN14" s="104"/>
      <c r="BBO14" s="104"/>
      <c r="BBP14" s="211" t="s">
        <v>25</v>
      </c>
      <c r="BBQ14" s="211"/>
      <c r="BBR14" s="211"/>
      <c r="BBS14" s="211"/>
      <c r="BBT14" s="129"/>
      <c r="BBU14" s="129"/>
      <c r="BBV14" s="210" t="s">
        <v>36</v>
      </c>
      <c r="BBW14" s="210"/>
      <c r="BBX14" s="210"/>
      <c r="BBY14" s="210"/>
      <c r="BBZ14" s="104"/>
      <c r="BCA14" s="104"/>
      <c r="BCB14" s="211" t="s">
        <v>26</v>
      </c>
      <c r="BCC14" s="211"/>
      <c r="BCD14" s="211"/>
      <c r="BCE14" s="211"/>
      <c r="BCF14" s="129"/>
      <c r="BCG14" s="129"/>
      <c r="BCH14" s="210" t="s">
        <v>37</v>
      </c>
      <c r="BCI14" s="210"/>
      <c r="BCJ14" s="210"/>
      <c r="BCK14" s="210"/>
      <c r="BCL14" s="104"/>
      <c r="BCM14" s="104"/>
      <c r="BCN14" s="104"/>
      <c r="BCO14" s="105"/>
      <c r="BCP14" s="103"/>
      <c r="BCQ14" s="104"/>
      <c r="BCR14" s="104"/>
      <c r="BCS14" s="104"/>
      <c r="BCT14" s="210" t="s">
        <v>33</v>
      </c>
      <c r="BCU14" s="210"/>
      <c r="BCV14" s="210"/>
      <c r="BCW14" s="210"/>
      <c r="BCX14" s="104"/>
      <c r="BCY14" s="104"/>
      <c r="BCZ14" s="211" t="s">
        <v>23</v>
      </c>
      <c r="BDA14" s="211"/>
      <c r="BDB14" s="211"/>
      <c r="BDC14" s="211"/>
      <c r="BDD14" s="129"/>
      <c r="BDE14" s="129"/>
      <c r="BDF14" s="210" t="s">
        <v>34</v>
      </c>
      <c r="BDG14" s="210"/>
      <c r="BDH14" s="210"/>
      <c r="BDI14" s="210"/>
      <c r="BDJ14" s="104"/>
      <c r="BDK14" s="104"/>
      <c r="BDL14" s="211" t="s">
        <v>24</v>
      </c>
      <c r="BDM14" s="211"/>
      <c r="BDN14" s="211"/>
      <c r="BDO14" s="211"/>
      <c r="BDP14" s="129"/>
      <c r="BDQ14" s="129"/>
      <c r="BDR14" s="210" t="s">
        <v>35</v>
      </c>
      <c r="BDS14" s="210"/>
      <c r="BDT14" s="210"/>
      <c r="BDU14" s="210"/>
      <c r="BDV14" s="104"/>
      <c r="BDW14" s="104"/>
      <c r="BDX14" s="211" t="s">
        <v>25</v>
      </c>
      <c r="BDY14" s="211"/>
      <c r="BDZ14" s="211"/>
      <c r="BEA14" s="211"/>
      <c r="BEB14" s="129"/>
      <c r="BEC14" s="129"/>
      <c r="BED14" s="210" t="s">
        <v>36</v>
      </c>
      <c r="BEE14" s="210"/>
      <c r="BEF14" s="210"/>
      <c r="BEG14" s="210"/>
      <c r="BEH14" s="104"/>
      <c r="BEI14" s="104"/>
      <c r="BEJ14" s="211" t="s">
        <v>26</v>
      </c>
      <c r="BEK14" s="211"/>
      <c r="BEL14" s="211"/>
      <c r="BEM14" s="211"/>
      <c r="BEN14" s="129"/>
      <c r="BEO14" s="129"/>
      <c r="BEP14" s="210" t="s">
        <v>37</v>
      </c>
      <c r="BEQ14" s="210"/>
      <c r="BER14" s="210"/>
      <c r="BES14" s="210"/>
      <c r="BET14" s="104"/>
      <c r="BEU14" s="104"/>
      <c r="BEV14" s="104"/>
      <c r="BEW14" s="105"/>
      <c r="BEX14" s="103"/>
      <c r="BEY14" s="104"/>
      <c r="BEZ14" s="104"/>
      <c r="BFA14" s="104"/>
      <c r="BFB14" s="210" t="s">
        <v>33</v>
      </c>
      <c r="BFC14" s="210"/>
      <c r="BFD14" s="210"/>
      <c r="BFE14" s="210"/>
      <c r="BFF14" s="104"/>
      <c r="BFG14" s="104"/>
      <c r="BFH14" s="211" t="s">
        <v>23</v>
      </c>
      <c r="BFI14" s="211"/>
      <c r="BFJ14" s="211"/>
      <c r="BFK14" s="211"/>
      <c r="BFL14" s="129"/>
      <c r="BFM14" s="129"/>
      <c r="BFN14" s="210" t="s">
        <v>34</v>
      </c>
      <c r="BFO14" s="210"/>
      <c r="BFP14" s="210"/>
      <c r="BFQ14" s="210"/>
      <c r="BFR14" s="104"/>
      <c r="BFS14" s="104"/>
      <c r="BFT14" s="211" t="s">
        <v>24</v>
      </c>
      <c r="BFU14" s="211"/>
      <c r="BFV14" s="211"/>
      <c r="BFW14" s="211"/>
      <c r="BFX14" s="129"/>
      <c r="BFY14" s="129"/>
      <c r="BFZ14" s="210" t="s">
        <v>35</v>
      </c>
      <c r="BGA14" s="210"/>
      <c r="BGB14" s="210"/>
      <c r="BGC14" s="210"/>
      <c r="BGD14" s="104"/>
      <c r="BGE14" s="104"/>
      <c r="BGF14" s="211" t="s">
        <v>25</v>
      </c>
      <c r="BGG14" s="211"/>
      <c r="BGH14" s="211"/>
      <c r="BGI14" s="211"/>
      <c r="BGJ14" s="129"/>
      <c r="BGK14" s="129"/>
      <c r="BGL14" s="210" t="s">
        <v>36</v>
      </c>
      <c r="BGM14" s="210"/>
      <c r="BGN14" s="210"/>
      <c r="BGO14" s="210"/>
      <c r="BGP14" s="104"/>
      <c r="BGQ14" s="104"/>
      <c r="BGR14" s="211" t="s">
        <v>26</v>
      </c>
      <c r="BGS14" s="211"/>
      <c r="BGT14" s="211"/>
      <c r="BGU14" s="211"/>
      <c r="BGV14" s="129"/>
      <c r="BGW14" s="129"/>
      <c r="BGX14" s="210" t="s">
        <v>37</v>
      </c>
      <c r="BGY14" s="210"/>
      <c r="BGZ14" s="210"/>
      <c r="BHA14" s="210"/>
      <c r="BHB14" s="104"/>
      <c r="BHC14" s="104"/>
      <c r="BHD14" s="104"/>
      <c r="BHE14" s="105"/>
      <c r="BHF14" s="103"/>
      <c r="BHG14" s="104"/>
      <c r="BHH14" s="104"/>
      <c r="BHI14" s="104"/>
      <c r="BHJ14" s="210" t="s">
        <v>33</v>
      </c>
      <c r="BHK14" s="210"/>
      <c r="BHL14" s="210"/>
      <c r="BHM14" s="210"/>
      <c r="BHN14" s="104"/>
      <c r="BHO14" s="104"/>
      <c r="BHP14" s="211" t="s">
        <v>23</v>
      </c>
      <c r="BHQ14" s="211"/>
      <c r="BHR14" s="211"/>
      <c r="BHS14" s="211"/>
      <c r="BHT14" s="129"/>
      <c r="BHU14" s="129"/>
      <c r="BHV14" s="210" t="s">
        <v>34</v>
      </c>
      <c r="BHW14" s="210"/>
      <c r="BHX14" s="210"/>
      <c r="BHY14" s="210"/>
      <c r="BHZ14" s="104"/>
      <c r="BIA14" s="104"/>
      <c r="BIB14" s="211" t="s">
        <v>24</v>
      </c>
      <c r="BIC14" s="211"/>
      <c r="BID14" s="211"/>
      <c r="BIE14" s="211"/>
      <c r="BIF14" s="129"/>
      <c r="BIG14" s="129"/>
      <c r="BIH14" s="210" t="s">
        <v>35</v>
      </c>
      <c r="BII14" s="210"/>
      <c r="BIJ14" s="210"/>
      <c r="BIK14" s="210"/>
      <c r="BIL14" s="104"/>
      <c r="BIM14" s="104"/>
      <c r="BIN14" s="211" t="s">
        <v>25</v>
      </c>
      <c r="BIO14" s="211"/>
      <c r="BIP14" s="211"/>
      <c r="BIQ14" s="211"/>
      <c r="BIR14" s="129"/>
      <c r="BIS14" s="129"/>
      <c r="BIT14" s="210" t="s">
        <v>36</v>
      </c>
      <c r="BIU14" s="210"/>
      <c r="BIV14" s="210"/>
      <c r="BIW14" s="210"/>
      <c r="BIX14" s="104"/>
      <c r="BIY14" s="104"/>
      <c r="BIZ14" s="211" t="s">
        <v>26</v>
      </c>
      <c r="BJA14" s="211"/>
      <c r="BJB14" s="211"/>
      <c r="BJC14" s="211"/>
      <c r="BJD14" s="129"/>
      <c r="BJE14" s="129"/>
      <c r="BJF14" s="210" t="s">
        <v>37</v>
      </c>
      <c r="BJG14" s="210"/>
      <c r="BJH14" s="210"/>
      <c r="BJI14" s="210"/>
      <c r="BJJ14" s="104"/>
      <c r="BJK14" s="104"/>
      <c r="BJL14" s="104"/>
      <c r="BJM14" s="105"/>
      <c r="BJN14" s="103"/>
      <c r="BJO14" s="104"/>
      <c r="BJP14" s="104"/>
      <c r="BJQ14" s="104"/>
      <c r="BJR14" s="210" t="s">
        <v>33</v>
      </c>
      <c r="BJS14" s="210"/>
      <c r="BJT14" s="210"/>
      <c r="BJU14" s="210"/>
      <c r="BJV14" s="104"/>
      <c r="BJW14" s="104"/>
      <c r="BJX14" s="211" t="s">
        <v>23</v>
      </c>
      <c r="BJY14" s="211"/>
      <c r="BJZ14" s="211"/>
      <c r="BKA14" s="211"/>
      <c r="BKB14" s="129"/>
      <c r="BKC14" s="129"/>
      <c r="BKD14" s="210" t="s">
        <v>34</v>
      </c>
      <c r="BKE14" s="210"/>
      <c r="BKF14" s="210"/>
      <c r="BKG14" s="210"/>
      <c r="BKH14" s="104"/>
      <c r="BKI14" s="104"/>
      <c r="BKJ14" s="211" t="s">
        <v>24</v>
      </c>
      <c r="BKK14" s="211"/>
      <c r="BKL14" s="211"/>
      <c r="BKM14" s="211"/>
      <c r="BKN14" s="129"/>
      <c r="BKO14" s="129"/>
      <c r="BKP14" s="210" t="s">
        <v>35</v>
      </c>
      <c r="BKQ14" s="210"/>
      <c r="BKR14" s="210"/>
      <c r="BKS14" s="210"/>
      <c r="BKT14" s="104"/>
      <c r="BKU14" s="104"/>
      <c r="BKV14" s="211" t="s">
        <v>25</v>
      </c>
      <c r="BKW14" s="211"/>
      <c r="BKX14" s="211"/>
      <c r="BKY14" s="211"/>
      <c r="BKZ14" s="129"/>
      <c r="BLA14" s="129"/>
      <c r="BLB14" s="210" t="s">
        <v>36</v>
      </c>
      <c r="BLC14" s="210"/>
      <c r="BLD14" s="210"/>
      <c r="BLE14" s="210"/>
      <c r="BLF14" s="104"/>
      <c r="BLG14" s="104"/>
      <c r="BLH14" s="211" t="s">
        <v>26</v>
      </c>
      <c r="BLI14" s="211"/>
      <c r="BLJ14" s="211"/>
      <c r="BLK14" s="211"/>
      <c r="BLL14" s="129"/>
      <c r="BLM14" s="129"/>
      <c r="BLN14" s="210" t="s">
        <v>37</v>
      </c>
      <c r="BLO14" s="210"/>
      <c r="BLP14" s="210"/>
      <c r="BLQ14" s="210"/>
      <c r="BLR14" s="104"/>
      <c r="BLS14" s="104"/>
      <c r="BLT14" s="104"/>
      <c r="BLU14" s="105"/>
    </row>
    <row r="15" spans="1:1744" ht="20.100000000000001" customHeight="1" x14ac:dyDescent="0.25">
      <c r="A15" s="100" t="s">
        <v>19</v>
      </c>
      <c r="B15" s="63" t="str">
        <f>IF(LEN(C15)=0,"",C15)</f>
        <v xml:space="preserve">Absences - imprévus </v>
      </c>
      <c r="C15" s="204"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2"/>
      <c r="D16" s="147" t="str">
        <f t="shared" ref="D16:D79" si="0">setValueToTime(E16)</f>
        <v>7h30min</v>
      </c>
      <c r="E16" s="35">
        <v>90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197"/>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4"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2"/>
      <c r="D18" s="148" t="str">
        <f t="shared" si="0"/>
        <v>1h30min</v>
      </c>
      <c r="E18" s="35">
        <v>18</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190"/>
      <c r="ANU18" s="193"/>
      <c r="ANV18" s="190"/>
      <c r="ANW18" s="190"/>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190"/>
      <c r="ASM18" s="190"/>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4"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5"/>
      <c r="D20" s="147" t="str">
        <f t="shared" si="0"/>
        <v>3h35min</v>
      </c>
      <c r="E20" s="27">
        <v>43</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195"/>
      <c r="ACI20" s="195"/>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195"/>
      <c r="AJG20" s="195"/>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195"/>
      <c r="ASK20" s="19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195"/>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195"/>
      <c r="AXE20" s="195"/>
      <c r="AXF20" s="190"/>
      <c r="AXG20" s="194"/>
      <c r="AXH20" s="195"/>
      <c r="AXI20" s="195"/>
      <c r="AXJ20" s="195"/>
      <c r="AXK20" s="195"/>
      <c r="AXL20" s="195"/>
      <c r="AXM20" s="196"/>
      <c r="AXN20" s="195"/>
      <c r="AXO20" s="195"/>
      <c r="AXP20" s="195"/>
      <c r="AXQ20" s="195"/>
      <c r="AXR20" s="195"/>
      <c r="AXS20" s="194"/>
      <c r="AXT20" s="195"/>
      <c r="AXU20" s="195"/>
      <c r="AXV20" s="195"/>
      <c r="AXW20" s="195"/>
      <c r="AXX20" s="195"/>
      <c r="AXY20" s="201"/>
      <c r="AXZ20" s="197"/>
      <c r="AYA20" s="198"/>
      <c r="AYB20" s="198"/>
      <c r="AYC20" s="198"/>
      <c r="AYD20" s="195"/>
      <c r="AYE20" s="199"/>
      <c r="AYF20" s="195"/>
      <c r="AYG20" s="195"/>
      <c r="AYH20" s="195"/>
      <c r="AYI20" s="195"/>
      <c r="AYJ20" s="195"/>
      <c r="AYK20" s="19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4"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5"/>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4"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4"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2"/>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4"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2"/>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4"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2"/>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4"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5"/>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4"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2"/>
      <c r="D34" s="148" t="str">
        <f t="shared" si="0"/>
        <v>10h20min</v>
      </c>
      <c r="E34" s="35">
        <v>124</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188"/>
      <c r="AHW34" s="189"/>
      <c r="AHX34" s="189"/>
      <c r="AHY34" s="189"/>
      <c r="AHZ34" s="190"/>
      <c r="AIA34" s="191"/>
      <c r="AIB34" s="190"/>
      <c r="AIC34" s="190"/>
      <c r="AID34" s="190"/>
      <c r="AIE34" s="190"/>
      <c r="AIF34" s="190"/>
      <c r="AIG34" s="193"/>
      <c r="AIH34" s="190"/>
      <c r="AII34" s="190"/>
      <c r="AIJ34" s="190"/>
      <c r="AIK34" s="190"/>
      <c r="AIL34" s="190"/>
      <c r="AIM34" s="194"/>
      <c r="AIN34" s="190"/>
      <c r="AIO34" s="190"/>
      <c r="AIP34" s="190"/>
      <c r="AIQ34" s="190"/>
      <c r="AIR34" s="190"/>
      <c r="AIS34" s="193"/>
      <c r="AIT34" s="190"/>
      <c r="AIU34" s="190"/>
      <c r="AIV34" s="190"/>
      <c r="AIW34" s="190"/>
      <c r="AIX34" s="190"/>
      <c r="AIY34" s="194"/>
      <c r="AIZ34" s="189"/>
      <c r="AJA34" s="189"/>
      <c r="AJB34" s="189"/>
      <c r="AJC34" s="189"/>
      <c r="AJD34" s="190"/>
      <c r="AJE34" s="193"/>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190"/>
      <c r="API34" s="190"/>
      <c r="APJ34" s="190"/>
      <c r="APK34" s="194"/>
      <c r="APL34" s="190"/>
      <c r="APM34" s="190"/>
      <c r="APN34" s="190"/>
      <c r="APO34" s="190"/>
      <c r="APP34" s="190"/>
      <c r="APQ34" s="193"/>
      <c r="APR34" s="190"/>
      <c r="APS34" s="190"/>
      <c r="APT34" s="190"/>
      <c r="APU34" s="190"/>
      <c r="APV34" s="190"/>
      <c r="APW34" s="194"/>
      <c r="APX34" s="189"/>
      <c r="APY34" s="189"/>
      <c r="APZ34" s="189"/>
      <c r="AQA34" s="189"/>
      <c r="AQB34" s="190"/>
      <c r="AQC34" s="193"/>
      <c r="AQD34" s="190"/>
      <c r="AQE34" s="190"/>
      <c r="AQF34" s="190"/>
      <c r="AQG34" s="190"/>
      <c r="AQH34" s="190"/>
      <c r="AQI34" s="194"/>
      <c r="AQJ34" s="190"/>
      <c r="AQK34" s="190"/>
      <c r="AQL34" s="190"/>
      <c r="AQM34" s="190"/>
      <c r="AQN34" s="190"/>
      <c r="AQO34" s="193"/>
      <c r="AQP34" s="37"/>
      <c r="AQQ34" s="37"/>
      <c r="AQR34" s="37"/>
      <c r="AQS34" s="37"/>
      <c r="AQT34" s="37"/>
      <c r="AQU34" s="75"/>
      <c r="AQV34" s="37"/>
      <c r="AQW34" s="37"/>
      <c r="AQX34" s="37"/>
      <c r="AQY34" s="37"/>
      <c r="AQZ34" s="37"/>
      <c r="ARA34" s="38"/>
      <c r="ARB34" s="188"/>
      <c r="ARC34" s="189"/>
      <c r="ARD34" s="189"/>
      <c r="ARE34" s="189"/>
      <c r="ARF34" s="190"/>
      <c r="ARG34" s="191"/>
      <c r="ARH34" s="190"/>
      <c r="ARI34" s="190"/>
      <c r="ARJ34" s="190"/>
      <c r="ARK34" s="190"/>
      <c r="ARL34" s="190"/>
      <c r="ARM34" s="193"/>
      <c r="ARN34" s="190"/>
      <c r="ARO34" s="190"/>
      <c r="ARP34" s="190"/>
      <c r="ARQ34" s="190"/>
      <c r="ARR34" s="190"/>
      <c r="ARS34" s="194"/>
      <c r="ART34" s="190"/>
      <c r="ARU34" s="190"/>
      <c r="ARV34" s="190"/>
      <c r="ARW34" s="190"/>
      <c r="ARX34" s="190"/>
      <c r="ARY34" s="193"/>
      <c r="ARZ34" s="190"/>
      <c r="ASA34" s="190"/>
      <c r="ASB34" s="190"/>
      <c r="ASC34" s="190"/>
      <c r="ASD34" s="190"/>
      <c r="ASE34" s="194"/>
      <c r="ASF34" s="189"/>
      <c r="ASG34" s="189"/>
      <c r="ASH34" s="189"/>
      <c r="ASI34" s="189"/>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190"/>
      <c r="AWK34" s="190"/>
      <c r="AWL34" s="190"/>
      <c r="AWM34" s="190"/>
      <c r="AWN34" s="190"/>
      <c r="AWO34" s="193"/>
      <c r="AWP34" s="190"/>
      <c r="AWQ34" s="190"/>
      <c r="AWR34" s="190"/>
      <c r="AWS34" s="190"/>
      <c r="AWT34" s="190"/>
      <c r="AWU34" s="194"/>
      <c r="AWV34" s="189"/>
      <c r="AWW34" s="189"/>
      <c r="AWX34" s="189"/>
      <c r="AWY34" s="189"/>
      <c r="AWZ34" s="190"/>
      <c r="AXA34" s="193"/>
      <c r="AXB34" s="190"/>
      <c r="AXC34" s="190"/>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4"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5"/>
      <c r="D36" s="147" t="str">
        <f t="shared" si="0"/>
        <v>6h25min</v>
      </c>
      <c r="E36" s="27">
        <v>77</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197"/>
      <c r="AKE36" s="198"/>
      <c r="AKF36" s="198"/>
      <c r="AKG36" s="198"/>
      <c r="AKH36" s="195"/>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4"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2"/>
      <c r="D38" s="148" t="str">
        <f t="shared" si="0"/>
        <v>5h30min</v>
      </c>
      <c r="E38" s="35">
        <v>66</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189"/>
      <c r="AMN38" s="189"/>
      <c r="AMO38" s="189"/>
      <c r="AMP38" s="190"/>
      <c r="AMQ38" s="191"/>
      <c r="AMR38" s="190"/>
      <c r="AMS38" s="190"/>
      <c r="AMT38" s="190"/>
      <c r="AMU38" s="190"/>
      <c r="AMV38" s="190"/>
      <c r="AMW38" s="193"/>
      <c r="AMX38" s="190"/>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4"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5"/>
      <c r="D40" s="147" t="str">
        <f t="shared" si="0"/>
        <v>1h</v>
      </c>
      <c r="E40" s="27">
        <v>12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195"/>
      <c r="ZQ40" s="195"/>
      <c r="ZR40" s="195"/>
      <c r="ZS40" s="200"/>
      <c r="ZT40" s="198"/>
      <c r="ZU40" s="198"/>
      <c r="ZV40" s="198"/>
      <c r="ZW40" s="198"/>
      <c r="ZX40" s="195"/>
      <c r="ZY40" s="196"/>
      <c r="ZZ40" s="195"/>
      <c r="AAA40" s="195"/>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4"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5"/>
      <c r="D42" s="148" t="str">
        <f t="shared" si="0"/>
        <v>1h25min</v>
      </c>
      <c r="E42" s="35">
        <v>17</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190"/>
      <c r="WP42" s="190"/>
      <c r="WQ42" s="190"/>
      <c r="WR42" s="190"/>
      <c r="WS42" s="193"/>
      <c r="WT42" s="190"/>
      <c r="WU42" s="190"/>
      <c r="WV42" s="190"/>
      <c r="WW42" s="190"/>
      <c r="WX42" s="190"/>
      <c r="WY42" s="194"/>
      <c r="WZ42" s="190"/>
      <c r="XA42" s="190"/>
      <c r="XB42" s="190"/>
      <c r="XC42" s="190"/>
      <c r="XD42" s="190"/>
      <c r="XE42" s="193"/>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4"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2"/>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4"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4"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5"/>
      <c r="D48" s="148" t="str">
        <f t="shared" si="0"/>
        <v>1h40min</v>
      </c>
      <c r="E48" s="27">
        <v>20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195"/>
      <c r="XG48" s="195"/>
      <c r="XH48" s="195"/>
      <c r="XI48" s="195"/>
      <c r="XJ48" s="195"/>
      <c r="XK48" s="200"/>
      <c r="XL48" s="198"/>
      <c r="XM48" s="198"/>
      <c r="XN48" s="198"/>
      <c r="XO48" s="198"/>
      <c r="XP48" s="195"/>
      <c r="XQ48" s="196"/>
      <c r="XR48" s="195"/>
      <c r="XS48" s="195"/>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4"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2"/>
      <c r="D50" s="148" t="str">
        <f t="shared" si="0"/>
        <v>1h20min</v>
      </c>
      <c r="E50" s="35">
        <v>16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188"/>
      <c r="YQ50" s="189"/>
      <c r="YR50" s="189"/>
      <c r="YS50" s="189"/>
      <c r="YT50" s="190"/>
      <c r="YU50" s="191"/>
      <c r="YV50" s="190"/>
      <c r="YW50" s="190"/>
      <c r="YX50" s="190"/>
      <c r="YY50" s="190"/>
      <c r="YZ50" s="190"/>
      <c r="ZA50" s="193"/>
      <c r="ZB50" s="190"/>
      <c r="ZC50" s="190"/>
      <c r="ZD50" s="190"/>
      <c r="ZE50" s="190"/>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4"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5"/>
      <c r="D52" s="147" t="str">
        <f t="shared" si="0"/>
        <v>1h20min</v>
      </c>
      <c r="E52" s="27">
        <v>16</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195"/>
      <c r="ZG52" s="194"/>
      <c r="ZH52" s="195"/>
      <c r="ZI52" s="195"/>
      <c r="ZJ52" s="195"/>
      <c r="ZK52" s="195"/>
      <c r="ZL52" s="195"/>
      <c r="ZM52" s="196"/>
      <c r="ZN52" s="195"/>
      <c r="ZO52" s="195"/>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197"/>
      <c r="AAY52" s="198"/>
      <c r="AAZ52" s="198"/>
      <c r="ABA52" s="198"/>
      <c r="ABB52" s="195"/>
      <c r="ABC52" s="199"/>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4"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2"/>
      <c r="D54" s="148" t="str">
        <f t="shared" si="0"/>
        <v>5h25min</v>
      </c>
      <c r="E54" s="35">
        <v>65</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190"/>
      <c r="ABE54" s="190"/>
      <c r="ABF54" s="190"/>
      <c r="ABG54" s="190"/>
      <c r="ABH54" s="190"/>
      <c r="ABI54" s="193"/>
      <c r="ABJ54" s="190"/>
      <c r="ABK54" s="190"/>
      <c r="ABL54" s="190"/>
      <c r="ABM54" s="190"/>
      <c r="ABN54" s="190"/>
      <c r="ABO54" s="194"/>
      <c r="ABP54" s="190"/>
      <c r="ABQ54" s="190"/>
      <c r="ABR54" s="190"/>
      <c r="ABS54" s="190"/>
      <c r="ABT54" s="190"/>
      <c r="ABU54" s="193"/>
      <c r="ABV54" s="190"/>
      <c r="ABW54" s="190"/>
      <c r="ABX54" s="190"/>
      <c r="ABY54" s="190"/>
      <c r="ABZ54" s="190"/>
      <c r="ACA54" s="194"/>
      <c r="ACB54" s="189"/>
      <c r="ACC54" s="189"/>
      <c r="ACD54" s="189"/>
      <c r="ACE54" s="189"/>
      <c r="ACF54" s="190"/>
      <c r="ACG54" s="193"/>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188"/>
      <c r="ADG54" s="189"/>
      <c r="ADH54" s="189"/>
      <c r="ADI54" s="189"/>
      <c r="ADJ54" s="190"/>
      <c r="ADK54" s="191"/>
      <c r="ADL54" s="190"/>
      <c r="ADM54" s="190"/>
      <c r="ADN54" s="190"/>
      <c r="ADO54" s="190"/>
      <c r="ADP54" s="190"/>
      <c r="ADQ54" s="193"/>
      <c r="ADR54" s="190"/>
      <c r="ADS54" s="190"/>
      <c r="ADT54" s="190"/>
      <c r="ADU54" s="190"/>
      <c r="ADV54" s="190"/>
      <c r="ADW54" s="194"/>
      <c r="ADX54" s="190"/>
      <c r="ADY54" s="190"/>
      <c r="ADZ54" s="190"/>
      <c r="AEA54" s="190"/>
      <c r="AEB54" s="190"/>
      <c r="AEC54" s="193"/>
      <c r="AED54" s="190"/>
      <c r="AEE54" s="190"/>
      <c r="AEF54" s="190"/>
      <c r="AEG54" s="190"/>
      <c r="AEH54" s="190"/>
      <c r="AEI54" s="194"/>
      <c r="AEJ54" s="189"/>
      <c r="AEK54" s="189"/>
      <c r="AEL54" s="189"/>
      <c r="AEM54" s="189"/>
      <c r="AEN54" s="190"/>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4"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5"/>
      <c r="D56" s="147" t="str">
        <f t="shared" si="0"/>
        <v>1h15min</v>
      </c>
      <c r="E56" s="27">
        <v>15</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197"/>
      <c r="AFO56" s="198"/>
      <c r="AFP56" s="198"/>
      <c r="AFQ56" s="198"/>
      <c r="AFR56" s="195"/>
      <c r="AFS56" s="199"/>
      <c r="AFT56" s="195"/>
      <c r="AFU56" s="195"/>
      <c r="AFV56" s="195"/>
      <c r="AFW56" s="195"/>
      <c r="AFX56" s="195"/>
      <c r="AFY56" s="196"/>
      <c r="AFZ56" s="195"/>
      <c r="AGA56" s="195"/>
      <c r="AGB56" s="195"/>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4"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5"/>
      <c r="D58" s="148" t="str">
        <f t="shared" si="0"/>
        <v>3h</v>
      </c>
      <c r="E58" s="35">
        <v>36</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93"/>
      <c r="AEP58" s="190"/>
      <c r="AEQ58" s="190"/>
      <c r="AER58" s="190"/>
      <c r="AES58" s="190"/>
      <c r="AET58" s="190"/>
      <c r="AEU58" s="194"/>
      <c r="AEV58" s="190"/>
      <c r="AEW58" s="190"/>
      <c r="AEX58" s="190"/>
      <c r="AEY58" s="190"/>
      <c r="AEZ58" s="190"/>
      <c r="AFA58" s="193"/>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190"/>
      <c r="AGD58" s="190"/>
      <c r="AGE58" s="194"/>
      <c r="AGF58" s="190"/>
      <c r="AGG58" s="190"/>
      <c r="AGH58" s="190"/>
      <c r="AGI58" s="190"/>
      <c r="AGJ58" s="190"/>
      <c r="AGK58" s="193"/>
      <c r="AGL58" s="190"/>
      <c r="AGM58" s="190"/>
      <c r="AGN58" s="190"/>
      <c r="AGO58" s="190"/>
      <c r="AGP58" s="190"/>
      <c r="AGQ58" s="194"/>
      <c r="AGR58" s="189"/>
      <c r="AGS58" s="189"/>
      <c r="AGT58" s="189"/>
      <c r="AGU58" s="189"/>
      <c r="AGV58" s="190"/>
      <c r="AGW58" s="193"/>
      <c r="AGX58" s="190"/>
      <c r="AGY58" s="190"/>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4"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4"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4"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4"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4"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5"/>
      <c r="D68" s="147" t="str">
        <f t="shared" si="0"/>
        <v>3h35min</v>
      </c>
      <c r="E68" s="27">
        <v>43</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99"/>
      <c r="AKJ68" s="195"/>
      <c r="AKK68" s="195"/>
      <c r="AKL68" s="195"/>
      <c r="AKM68" s="195"/>
      <c r="AKN68" s="195"/>
      <c r="AKO68" s="196"/>
      <c r="AKP68" s="195"/>
      <c r="AKQ68" s="195"/>
      <c r="AKR68" s="195"/>
      <c r="AKS68" s="195"/>
      <c r="AKT68" s="195"/>
      <c r="AKU68" s="200"/>
      <c r="AKV68" s="195"/>
      <c r="AKW68" s="195"/>
      <c r="AKX68" s="195"/>
      <c r="AKY68" s="195"/>
      <c r="AKZ68" s="195"/>
      <c r="ALA68" s="196"/>
      <c r="ALB68" s="195"/>
      <c r="ALC68" s="195"/>
      <c r="ALD68" s="195"/>
      <c r="ALE68" s="195"/>
      <c r="ALF68" s="195"/>
      <c r="ALG68" s="200"/>
      <c r="ALH68" s="198"/>
      <c r="ALI68" s="198"/>
      <c r="ALJ68" s="198"/>
      <c r="ALK68" s="198"/>
      <c r="ALL68" s="195"/>
      <c r="ALM68" s="196"/>
      <c r="ALN68" s="195"/>
      <c r="ALO68" s="195"/>
      <c r="ALP68" s="195"/>
      <c r="ALQ68" s="195"/>
      <c r="ALR68" s="195"/>
      <c r="ALS68" s="200"/>
      <c r="ALT68" s="195"/>
      <c r="ALU68" s="195"/>
      <c r="ALV68" s="195"/>
      <c r="ALW68" s="195"/>
      <c r="ALX68" s="195"/>
      <c r="ALY68" s="19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4"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5"/>
      <c r="D70" s="148" t="str">
        <f t="shared" si="0"/>
        <v>2h30min</v>
      </c>
      <c r="E70" s="35">
        <v>30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190"/>
      <c r="AMZ70" s="190"/>
      <c r="ANA70" s="190"/>
      <c r="ANB70" s="190"/>
      <c r="ANC70" s="194"/>
      <c r="AND70" s="190"/>
      <c r="ANE70" s="190"/>
      <c r="ANF70" s="190"/>
      <c r="ANG70" s="190"/>
      <c r="ANH70" s="190"/>
      <c r="ANI70" s="193"/>
      <c r="ANJ70" s="190"/>
      <c r="ANK70" s="190"/>
      <c r="ANL70" s="190"/>
      <c r="ANM70" s="190"/>
      <c r="ANN70" s="190"/>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188"/>
      <c r="AOU70" s="189"/>
      <c r="AOV70" s="189"/>
      <c r="AOW70" s="189"/>
      <c r="AOX70" s="190"/>
      <c r="AOY70" s="191"/>
      <c r="AOZ70" s="190"/>
      <c r="APA70" s="190"/>
      <c r="APB70" s="190"/>
      <c r="APC70" s="190"/>
      <c r="APD70" s="190"/>
      <c r="APE70" s="193"/>
      <c r="APF70" s="190"/>
      <c r="APG70" s="190"/>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4"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4"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4"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5"/>
      <c r="D76" s="148" t="str">
        <f t="shared" si="0"/>
        <v>3h30min</v>
      </c>
      <c r="E76" s="35">
        <v>42</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194"/>
      <c r="ANP76" s="189"/>
      <c r="ANQ76" s="189"/>
      <c r="ANR76" s="189"/>
      <c r="ANS76" s="189"/>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188"/>
      <c r="ATK76" s="189"/>
      <c r="ATL76" s="189"/>
      <c r="ATM76" s="189"/>
      <c r="ATN76" s="190"/>
      <c r="ATO76" s="191"/>
      <c r="ATP76" s="190"/>
      <c r="ATQ76" s="190"/>
      <c r="ATR76" s="190"/>
      <c r="ATS76" s="190"/>
      <c r="ATT76" s="190"/>
      <c r="ATU76" s="193"/>
      <c r="ATV76" s="190"/>
      <c r="ATW76" s="190"/>
      <c r="ATX76" s="190"/>
      <c r="ATY76" s="190"/>
      <c r="ATZ76" s="190"/>
      <c r="AUA76" s="194"/>
      <c r="AUB76" s="190"/>
      <c r="AUC76" s="190"/>
      <c r="AUD76" s="190"/>
      <c r="AUE76" s="190"/>
      <c r="AUF76" s="190"/>
      <c r="AUG76" s="193"/>
      <c r="AUH76" s="190"/>
      <c r="AUI76" s="190"/>
      <c r="AUJ76" s="190"/>
      <c r="AUK76" s="190"/>
      <c r="AUL76" s="190"/>
      <c r="AUM76" s="194"/>
      <c r="AUN76" s="189"/>
      <c r="AUO76" s="189"/>
      <c r="AUP76" s="189"/>
      <c r="AUQ76" s="189"/>
      <c r="AUR76" s="190"/>
      <c r="AUS76" s="193"/>
      <c r="AUT76" s="190"/>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4"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2"/>
      <c r="D78" s="147" t="str">
        <f t="shared" si="0"/>
        <v>1h30min</v>
      </c>
      <c r="E78" s="102">
        <v>18</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197"/>
      <c r="AVS78" s="198"/>
      <c r="AVT78" s="198"/>
      <c r="AVU78" s="198"/>
      <c r="AVV78" s="195"/>
      <c r="AVW78" s="191"/>
      <c r="AVX78" s="195"/>
      <c r="AVY78" s="195"/>
      <c r="AVZ78" s="195"/>
      <c r="AWA78" s="195"/>
      <c r="AWB78" s="195"/>
      <c r="AWC78" s="193"/>
      <c r="AWD78" s="195"/>
      <c r="AWE78" s="195"/>
      <c r="AWF78" s="195"/>
      <c r="AWG78" s="195"/>
      <c r="AWH78" s="195"/>
      <c r="AWI78" s="194"/>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13" t="s">
        <v>9</v>
      </c>
      <c r="D95" s="214"/>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5"/>
      <c r="D96" s="216"/>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6" t="s">
        <v>10</v>
      </c>
      <c r="D97" s="207"/>
      <c r="E97" s="118">
        <f>SUM(E16,E18,E20,E22,E24,E26,E28,E30,E32,E34,E36,E38,E40,E42,E44,E46,E48,E50,E52,E54,E56,E58,E60,E62,E64,E66,E68,E70,E72,E74,E76,E78,E80,E82,E84,E86,E88,E90,E92,E94)</f>
        <v>901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8"/>
      <c r="D98" s="209"/>
      <c r="E98" s="122" t="str">
        <f xml:space="preserve"> setValueToTime(E97)</f>
        <v>75h5min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169"/>
  <sheetViews>
    <sheetView showGridLines="0" zoomScaleNormal="100" zoomScaleSheetLayoutView="98" workbookViewId="0">
      <pane ySplit="1" topLeftCell="A2"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8" t="s">
        <v>15</v>
      </c>
      <c r="F3" s="239"/>
      <c r="G3" s="46"/>
    </row>
    <row r="4" spans="1:7" s="52" customFormat="1" ht="27.75" thickBot="1" x14ac:dyDescent="0.35">
      <c r="A4" s="192" t="s">
        <v>121</v>
      </c>
      <c r="B4" s="54">
        <v>12</v>
      </c>
      <c r="C4" s="152" t="str">
        <f xml:space="preserve"> IF(B4="","",setValueToTime(B4))</f>
        <v>1h</v>
      </c>
      <c r="D4" s="165" t="s">
        <v>133</v>
      </c>
      <c r="E4" s="240"/>
      <c r="F4" s="241"/>
      <c r="G4" s="51"/>
    </row>
    <row r="5" spans="1:7" s="52" customFormat="1" ht="15" thickBot="1" x14ac:dyDescent="0.35">
      <c r="A5" s="111" t="s">
        <v>28</v>
      </c>
      <c r="B5" s="84">
        <f>SUM(B4:B4)</f>
        <v>12</v>
      </c>
      <c r="C5" s="111" t="str">
        <f xml:space="preserve"> setValueToTime(B5)</f>
        <v>1h</v>
      </c>
      <c r="D5" s="120"/>
      <c r="E5" s="236"/>
      <c r="F5" s="237"/>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8" t="s">
        <v>15</v>
      </c>
      <c r="F8" s="239"/>
      <c r="G8" s="46"/>
    </row>
    <row r="9" spans="1:7" s="52" customFormat="1" ht="27" x14ac:dyDescent="0.3">
      <c r="A9" s="48" t="s">
        <v>94</v>
      </c>
      <c r="B9" s="49">
        <v>37</v>
      </c>
      <c r="C9" s="152" t="str">
        <f xml:space="preserve"> IF(B9="","",setValueToTime(B9))</f>
        <v>3h5min</v>
      </c>
      <c r="D9" s="165" t="s">
        <v>160</v>
      </c>
      <c r="E9" s="240"/>
      <c r="F9" s="241"/>
      <c r="G9" s="51"/>
    </row>
    <row r="10" spans="1:7" s="52" customFormat="1" ht="15" thickBot="1" x14ac:dyDescent="0.35">
      <c r="A10" s="53" t="s">
        <v>93</v>
      </c>
      <c r="B10" s="54">
        <v>1</v>
      </c>
      <c r="C10" s="155" t="str">
        <f t="shared" ref="C10" si="0" xml:space="preserve"> IF(B10="","",setValueToTime(B10))</f>
        <v>0h5min</v>
      </c>
      <c r="D10" s="166" t="s">
        <v>118</v>
      </c>
      <c r="E10" s="244"/>
      <c r="F10" s="245"/>
      <c r="G10" s="51"/>
    </row>
    <row r="11" spans="1:7" s="52" customFormat="1" ht="15" thickBot="1" x14ac:dyDescent="0.35">
      <c r="A11" s="111" t="s">
        <v>28</v>
      </c>
      <c r="B11" s="84">
        <f>SUM(B9:B10)</f>
        <v>38</v>
      </c>
      <c r="C11" s="111" t="str">
        <f xml:space="preserve"> setValueToTime(B11)</f>
        <v>3h10min</v>
      </c>
      <c r="D11" s="120"/>
      <c r="E11" s="236"/>
      <c r="F11" s="237"/>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8" t="s">
        <v>15</v>
      </c>
      <c r="F14" s="239"/>
      <c r="G14" s="46"/>
    </row>
    <row r="15" spans="1:7" s="52" customFormat="1" x14ac:dyDescent="0.3">
      <c r="A15" s="48" t="s">
        <v>115</v>
      </c>
      <c r="B15" s="49">
        <v>47</v>
      </c>
      <c r="C15" s="152" t="str">
        <f xml:space="preserve"> IF(B15="","",setValueToTime(B15))</f>
        <v>3h55min</v>
      </c>
      <c r="D15" s="165" t="s">
        <v>154</v>
      </c>
      <c r="E15" s="240"/>
      <c r="F15" s="241"/>
      <c r="G15" s="51"/>
    </row>
    <row r="16" spans="1:7" s="52" customFormat="1" ht="15" thickBot="1" x14ac:dyDescent="0.35">
      <c r="A16" s="53" t="s">
        <v>93</v>
      </c>
      <c r="B16" s="54">
        <v>1</v>
      </c>
      <c r="C16" s="155" t="str">
        <f t="shared" ref="C16" si="1" xml:space="preserve"> IF(B16="","",setValueToTime(B16))</f>
        <v>0h5min</v>
      </c>
      <c r="D16" s="166" t="s">
        <v>118</v>
      </c>
      <c r="E16" s="244"/>
      <c r="F16" s="245"/>
      <c r="G16" s="51"/>
    </row>
    <row r="17" spans="1:7" s="52" customFormat="1" ht="15" thickBot="1" x14ac:dyDescent="0.35">
      <c r="A17" s="111" t="s">
        <v>28</v>
      </c>
      <c r="B17" s="84">
        <f>SUM(B15:B16)</f>
        <v>48</v>
      </c>
      <c r="C17" s="111" t="str">
        <f xml:space="preserve"> setValueToTime(B17)</f>
        <v>4h</v>
      </c>
      <c r="D17" s="120"/>
      <c r="E17" s="236"/>
      <c r="F17" s="237"/>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8" t="s">
        <v>15</v>
      </c>
      <c r="F20" s="239"/>
      <c r="G20" s="46"/>
    </row>
    <row r="21" spans="1:7" s="52" customFormat="1" ht="27" x14ac:dyDescent="0.3">
      <c r="A21" s="48" t="s">
        <v>149</v>
      </c>
      <c r="B21" s="49">
        <v>37</v>
      </c>
      <c r="C21" s="152" t="str">
        <f xml:space="preserve"> IF(B21="","",setValueToTime(B21))</f>
        <v>3h5min</v>
      </c>
      <c r="D21" s="165" t="s">
        <v>152</v>
      </c>
      <c r="E21" s="240"/>
      <c r="F21" s="241"/>
      <c r="G21" s="51"/>
    </row>
    <row r="22" spans="1:7" s="52" customFormat="1" ht="15" thickBot="1" x14ac:dyDescent="0.35">
      <c r="A22" s="53" t="s">
        <v>93</v>
      </c>
      <c r="B22" s="54">
        <v>1</v>
      </c>
      <c r="C22" s="155" t="str">
        <f t="shared" ref="C22" si="2" xml:space="preserve"> IF(B22="","",setValueToTime(B22))</f>
        <v>0h5min</v>
      </c>
      <c r="D22" s="166" t="s">
        <v>118</v>
      </c>
      <c r="E22" s="244"/>
      <c r="F22" s="245"/>
      <c r="G22" s="51"/>
    </row>
    <row r="23" spans="1:7" s="52" customFormat="1" ht="15" thickBot="1" x14ac:dyDescent="0.35">
      <c r="A23" s="111" t="s">
        <v>28</v>
      </c>
      <c r="B23" s="84">
        <f>SUM(B21:B22)</f>
        <v>38</v>
      </c>
      <c r="C23" s="111" t="str">
        <f xml:space="preserve"> setValueToTime(B23)</f>
        <v>3h10min</v>
      </c>
      <c r="D23" s="120"/>
      <c r="E23" s="236"/>
      <c r="F23" s="237"/>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8" t="s">
        <v>15</v>
      </c>
      <c r="F26" s="239"/>
      <c r="G26" s="46"/>
    </row>
    <row r="27" spans="1:7" s="52" customFormat="1" x14ac:dyDescent="0.3">
      <c r="A27" s="53" t="s">
        <v>98</v>
      </c>
      <c r="B27" s="49">
        <v>47</v>
      </c>
      <c r="C27" s="152" t="str">
        <f xml:space="preserve"> IF(B27="","",setValueToTime(B27))</f>
        <v>3h55min</v>
      </c>
      <c r="D27" s="55" t="s">
        <v>153</v>
      </c>
      <c r="E27" s="240"/>
      <c r="F27" s="241"/>
      <c r="G27" s="51"/>
    </row>
    <row r="28" spans="1:7" s="52" customFormat="1" ht="15" thickBot="1" x14ac:dyDescent="0.35">
      <c r="A28" s="53" t="s">
        <v>93</v>
      </c>
      <c r="B28" s="54">
        <v>1</v>
      </c>
      <c r="C28" s="155" t="str">
        <f t="shared" ref="C28" si="3" xml:space="preserve"> IF(B28="","",setValueToTime(B28))</f>
        <v>0h5min</v>
      </c>
      <c r="D28" s="166" t="s">
        <v>118</v>
      </c>
      <c r="E28" s="244"/>
      <c r="F28" s="245"/>
      <c r="G28" s="51"/>
    </row>
    <row r="29" spans="1:7" s="52" customFormat="1" ht="15" thickBot="1" x14ac:dyDescent="0.35">
      <c r="A29" s="111" t="s">
        <v>28</v>
      </c>
      <c r="B29" s="84">
        <f>SUM(B27:B28)</f>
        <v>48</v>
      </c>
      <c r="C29" s="111" t="str">
        <f xml:space="preserve"> setValueToTime(B29)</f>
        <v>4h</v>
      </c>
      <c r="D29" s="120"/>
      <c r="E29" s="236"/>
      <c r="F29" s="237"/>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8" t="s">
        <v>15</v>
      </c>
      <c r="F32" s="239"/>
      <c r="G32" s="46"/>
    </row>
    <row r="33" spans="1:7" s="52" customFormat="1" ht="40.5" x14ac:dyDescent="0.3">
      <c r="A33" s="48" t="s">
        <v>106</v>
      </c>
      <c r="B33" s="49">
        <v>37</v>
      </c>
      <c r="C33" s="152" t="str">
        <f xml:space="preserve"> IF(B33="","",setValueToTime(B33))</f>
        <v>3h5min</v>
      </c>
      <c r="D33" s="165" t="s">
        <v>150</v>
      </c>
      <c r="E33" s="240"/>
      <c r="F33" s="241"/>
      <c r="G33" s="51"/>
    </row>
    <row r="34" spans="1:7" s="52" customFormat="1" ht="15" thickBot="1" x14ac:dyDescent="0.35">
      <c r="A34" s="53" t="s">
        <v>93</v>
      </c>
      <c r="B34" s="54">
        <v>1</v>
      </c>
      <c r="C34" s="155" t="str">
        <f t="shared" ref="C34" si="4" xml:space="preserve"> IF(B34="","",setValueToTime(B34))</f>
        <v>0h5min</v>
      </c>
      <c r="D34" s="166" t="s">
        <v>118</v>
      </c>
      <c r="E34" s="244"/>
      <c r="F34" s="245"/>
      <c r="G34" s="51"/>
    </row>
    <row r="35" spans="1:7" s="52" customFormat="1" ht="15" thickBot="1" x14ac:dyDescent="0.35">
      <c r="A35" s="111" t="s">
        <v>28</v>
      </c>
      <c r="B35" s="84">
        <f>SUM(B33:B34)</f>
        <v>38</v>
      </c>
      <c r="C35" s="111" t="str">
        <f xml:space="preserve"> setValueToTime(B35)</f>
        <v>3h10min</v>
      </c>
      <c r="D35" s="120"/>
      <c r="E35" s="236"/>
      <c r="F35" s="237"/>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8" t="s">
        <v>15</v>
      </c>
      <c r="F38" s="239"/>
      <c r="G38" s="46"/>
    </row>
    <row r="39" spans="1:7" s="52" customFormat="1" ht="40.5" x14ac:dyDescent="0.3">
      <c r="A39" s="48" t="s">
        <v>107</v>
      </c>
      <c r="B39" s="49">
        <v>20</v>
      </c>
      <c r="C39" s="152" t="str">
        <f xml:space="preserve"> IF(B39="","",setValueToTime(B39))</f>
        <v>1h40min</v>
      </c>
      <c r="D39" s="165" t="s">
        <v>151</v>
      </c>
      <c r="E39" s="240"/>
      <c r="F39" s="241"/>
      <c r="G39" s="51"/>
    </row>
    <row r="40" spans="1:7" s="52" customFormat="1" ht="27" x14ac:dyDescent="0.3">
      <c r="A40" s="53" t="s">
        <v>123</v>
      </c>
      <c r="B40" s="54">
        <v>17</v>
      </c>
      <c r="C40" s="153" t="str">
        <f t="shared" ref="C40:C41" si="5" xml:space="preserve"> IF(B40="","",setValueToTime(B40))</f>
        <v>1h25min</v>
      </c>
      <c r="D40" s="166" t="s">
        <v>148</v>
      </c>
      <c r="E40" s="242"/>
      <c r="F40" s="243"/>
      <c r="G40" s="51"/>
    </row>
    <row r="41" spans="1:7" s="52" customFormat="1" ht="15" thickBot="1" x14ac:dyDescent="0.35">
      <c r="A41" s="53" t="s">
        <v>93</v>
      </c>
      <c r="B41" s="54">
        <v>1</v>
      </c>
      <c r="C41" s="155" t="str">
        <f t="shared" si="5"/>
        <v>0h5min</v>
      </c>
      <c r="D41" s="166" t="s">
        <v>118</v>
      </c>
      <c r="E41" s="244"/>
      <c r="F41" s="245"/>
      <c r="G41" s="51"/>
    </row>
    <row r="42" spans="1:7" s="52" customFormat="1" ht="15" thickBot="1" x14ac:dyDescent="0.35">
      <c r="A42" s="111" t="s">
        <v>28</v>
      </c>
      <c r="B42" s="84">
        <f>SUM(B39:B41)</f>
        <v>38</v>
      </c>
      <c r="C42" s="111" t="str">
        <f xml:space="preserve"> setValueToTime(B42)</f>
        <v>3h10min</v>
      </c>
      <c r="D42" s="120"/>
      <c r="E42" s="236"/>
      <c r="F42" s="237"/>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8" t="s">
        <v>15</v>
      </c>
      <c r="F45" s="239"/>
      <c r="G45" s="46"/>
    </row>
    <row r="46" spans="1:7" s="52" customFormat="1" ht="27" x14ac:dyDescent="0.3">
      <c r="A46" s="48" t="s">
        <v>123</v>
      </c>
      <c r="B46" s="49">
        <v>37</v>
      </c>
      <c r="C46" s="152" t="str">
        <f xml:space="preserve"> IF(B46="","",setValueToTime(B46))</f>
        <v>3h5min</v>
      </c>
      <c r="D46" s="165" t="s">
        <v>147</v>
      </c>
      <c r="E46" s="240"/>
      <c r="F46" s="241"/>
      <c r="G46" s="51"/>
    </row>
    <row r="47" spans="1:7" s="52" customFormat="1" ht="15" thickBot="1" x14ac:dyDescent="0.35">
      <c r="A47" s="53" t="s">
        <v>93</v>
      </c>
      <c r="B47" s="54">
        <v>1</v>
      </c>
      <c r="C47" s="155" t="str">
        <f t="shared" ref="C47" si="6" xml:space="preserve"> IF(B47="","",setValueToTime(B47))</f>
        <v>0h5min</v>
      </c>
      <c r="D47" s="166" t="s">
        <v>118</v>
      </c>
      <c r="E47" s="244"/>
      <c r="F47" s="245"/>
      <c r="G47" s="51"/>
    </row>
    <row r="48" spans="1:7" s="52" customFormat="1" ht="15" thickBot="1" x14ac:dyDescent="0.35">
      <c r="A48" s="111" t="s">
        <v>28</v>
      </c>
      <c r="B48" s="84">
        <f>SUM(B46:B47)</f>
        <v>38</v>
      </c>
      <c r="C48" s="111" t="str">
        <f xml:space="preserve"> setValueToTime(B48)</f>
        <v>3h10min</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8" t="s">
        <v>15</v>
      </c>
      <c r="F51" s="239"/>
      <c r="G51" s="46"/>
    </row>
    <row r="52" spans="1:7" s="52" customFormat="1" ht="27" x14ac:dyDescent="0.3">
      <c r="A52" s="53" t="s">
        <v>98</v>
      </c>
      <c r="B52" s="54">
        <v>47</v>
      </c>
      <c r="C52" s="152" t="str">
        <f xml:space="preserve"> IF(B52="","",setValueToTime(B52))</f>
        <v>3h55min</v>
      </c>
      <c r="D52" s="166" t="s">
        <v>145</v>
      </c>
      <c r="E52" s="240"/>
      <c r="F52" s="241"/>
      <c r="G52" s="51"/>
    </row>
    <row r="53" spans="1:7" s="52" customFormat="1" ht="15" thickBot="1" x14ac:dyDescent="0.35">
      <c r="A53" s="53" t="s">
        <v>93</v>
      </c>
      <c r="B53" s="54">
        <v>1</v>
      </c>
      <c r="C53" s="155" t="str">
        <f t="shared" ref="C53" si="7" xml:space="preserve"> IF(B53="","",setValueToTime(B53))</f>
        <v>0h5min</v>
      </c>
      <c r="D53" s="166" t="s">
        <v>118</v>
      </c>
      <c r="E53" s="244"/>
      <c r="F53" s="245"/>
      <c r="G53" s="51"/>
    </row>
    <row r="54" spans="1:7" s="52" customFormat="1" ht="15" thickBot="1" x14ac:dyDescent="0.35">
      <c r="A54" s="111" t="s">
        <v>28</v>
      </c>
      <c r="B54" s="84">
        <f>SUM(B52:B53)</f>
        <v>48</v>
      </c>
      <c r="C54" s="111" t="str">
        <f xml:space="preserve"> setValueToTime(B54)</f>
        <v>4h</v>
      </c>
      <c r="D54" s="120"/>
      <c r="E54" s="236"/>
      <c r="F54" s="237"/>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8" t="s">
        <v>15</v>
      </c>
      <c r="F57" s="239"/>
      <c r="G57" s="46"/>
    </row>
    <row r="58" spans="1:7" s="52" customFormat="1" ht="40.5" x14ac:dyDescent="0.3">
      <c r="A58" s="48" t="s">
        <v>108</v>
      </c>
      <c r="B58" s="49">
        <v>37</v>
      </c>
      <c r="C58" s="152" t="str">
        <f xml:space="preserve"> IF(B58="","",setValueToTime(B58))</f>
        <v>3h5min</v>
      </c>
      <c r="D58" s="165" t="s">
        <v>146</v>
      </c>
      <c r="E58" s="240"/>
      <c r="F58" s="241"/>
      <c r="G58" s="51"/>
    </row>
    <row r="59" spans="1:7" s="52" customFormat="1" ht="15" thickBot="1" x14ac:dyDescent="0.35">
      <c r="A59" s="53" t="s">
        <v>93</v>
      </c>
      <c r="B59" s="54">
        <v>1</v>
      </c>
      <c r="C59" s="155" t="str">
        <f t="shared" ref="C59" si="8" xml:space="preserve"> IF(B59="","",setValueToTime(B59))</f>
        <v>0h5min</v>
      </c>
      <c r="D59" s="166" t="s">
        <v>118</v>
      </c>
      <c r="E59" s="244"/>
      <c r="F59" s="245"/>
      <c r="G59" s="51"/>
    </row>
    <row r="60" spans="1:7" s="52" customFormat="1" ht="15" thickBot="1" x14ac:dyDescent="0.35">
      <c r="A60" s="111" t="s">
        <v>28</v>
      </c>
      <c r="B60" s="84">
        <f>SUM(B58:B59)</f>
        <v>38</v>
      </c>
      <c r="C60" s="111" t="str">
        <f xml:space="preserve"> setValueToTime(B60)</f>
        <v>3h10min</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8" t="s">
        <v>15</v>
      </c>
      <c r="F63" s="239"/>
      <c r="G63" s="46"/>
    </row>
    <row r="64" spans="1:7" s="52" customFormat="1" x14ac:dyDescent="0.3">
      <c r="A64" s="53" t="s">
        <v>98</v>
      </c>
      <c r="B64" s="54">
        <v>17</v>
      </c>
      <c r="C64" s="152" t="str">
        <f xml:space="preserve"> IF(B64="","",setValueToTime(B64))</f>
        <v>1h25min</v>
      </c>
      <c r="D64" s="166" t="s">
        <v>156</v>
      </c>
      <c r="E64" s="240"/>
      <c r="F64" s="241"/>
      <c r="G64" s="51"/>
    </row>
    <row r="65" spans="1:7" s="52" customFormat="1" ht="40.5" x14ac:dyDescent="0.3">
      <c r="A65" s="53" t="s">
        <v>108</v>
      </c>
      <c r="B65" s="54">
        <v>30</v>
      </c>
      <c r="C65" s="153" t="str">
        <f t="shared" ref="C65:C66" si="9" xml:space="preserve"> IF(B65="","",setValueToTime(B65))</f>
        <v>2h30min</v>
      </c>
      <c r="D65" s="55" t="s">
        <v>144</v>
      </c>
      <c r="E65" s="242"/>
      <c r="F65" s="243"/>
      <c r="G65" s="51"/>
    </row>
    <row r="66" spans="1:7" s="52" customFormat="1" ht="15" thickBot="1" x14ac:dyDescent="0.35">
      <c r="A66" s="53" t="s">
        <v>93</v>
      </c>
      <c r="B66" s="54">
        <v>1</v>
      </c>
      <c r="C66" s="155" t="str">
        <f t="shared" si="9"/>
        <v>0h5min</v>
      </c>
      <c r="D66" s="166" t="s">
        <v>118</v>
      </c>
      <c r="E66" s="244"/>
      <c r="F66" s="245"/>
      <c r="G66" s="51"/>
    </row>
    <row r="67" spans="1:7" s="52" customFormat="1" ht="15" thickBot="1" x14ac:dyDescent="0.35">
      <c r="A67" s="111" t="s">
        <v>28</v>
      </c>
      <c r="B67" s="84">
        <f>SUM(B64:B66)</f>
        <v>48</v>
      </c>
      <c r="C67" s="111" t="str">
        <f xml:space="preserve"> setValueToTime(B67)</f>
        <v>4h</v>
      </c>
      <c r="D67" s="120"/>
      <c r="E67" s="236"/>
      <c r="F67" s="237"/>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8" t="s">
        <v>15</v>
      </c>
      <c r="F70" s="239"/>
      <c r="G70" s="46"/>
    </row>
    <row r="71" spans="1:7" s="52" customFormat="1" ht="27" x14ac:dyDescent="0.3">
      <c r="A71" s="48" t="s">
        <v>122</v>
      </c>
      <c r="B71" s="49">
        <v>15</v>
      </c>
      <c r="C71" s="153" t="str">
        <f t="shared" ref="C71:C73" si="10" xml:space="preserve"> IF(B71="","",setValueToTime(B71))</f>
        <v>1h15min</v>
      </c>
      <c r="D71" s="165" t="s">
        <v>143</v>
      </c>
      <c r="E71" s="240"/>
      <c r="F71" s="241"/>
      <c r="G71" s="51"/>
    </row>
    <row r="72" spans="1:7" s="52" customFormat="1" ht="40.5" x14ac:dyDescent="0.3">
      <c r="A72" s="53" t="s">
        <v>142</v>
      </c>
      <c r="B72" s="54">
        <v>22</v>
      </c>
      <c r="C72" s="153" t="str">
        <f t="shared" si="10"/>
        <v>1h50min</v>
      </c>
      <c r="D72" s="166" t="s">
        <v>155</v>
      </c>
      <c r="E72" s="242"/>
      <c r="F72" s="243"/>
      <c r="G72" s="51"/>
    </row>
    <row r="73" spans="1:7" s="52" customFormat="1" ht="15" thickBot="1" x14ac:dyDescent="0.35">
      <c r="A73" s="53" t="s">
        <v>93</v>
      </c>
      <c r="B73" s="54">
        <v>1</v>
      </c>
      <c r="C73" s="155" t="str">
        <f t="shared" si="10"/>
        <v>0h5min</v>
      </c>
      <c r="D73" s="166" t="s">
        <v>118</v>
      </c>
      <c r="E73" s="244"/>
      <c r="F73" s="245"/>
      <c r="G73" s="51"/>
    </row>
    <row r="74" spans="1:7" s="52" customFormat="1" ht="15" thickBot="1" x14ac:dyDescent="0.35">
      <c r="A74" s="111" t="s">
        <v>28</v>
      </c>
      <c r="B74" s="84">
        <f>SUM(B71:B73)</f>
        <v>38</v>
      </c>
      <c r="C74" s="111" t="str">
        <f xml:space="preserve"> setValueToTime(B74)</f>
        <v>3h10min</v>
      </c>
      <c r="D74" s="120"/>
      <c r="E74" s="236"/>
      <c r="F74" s="237"/>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8" t="s">
        <v>15</v>
      </c>
      <c r="F77" s="239"/>
      <c r="G77" s="46"/>
    </row>
    <row r="78" spans="1:7" s="52" customFormat="1" ht="27" x14ac:dyDescent="0.3">
      <c r="A78" s="48" t="s">
        <v>95</v>
      </c>
      <c r="B78" s="49">
        <v>6</v>
      </c>
      <c r="C78" s="152" t="str">
        <f xml:space="preserve"> IF(B78="","",setValueToTime(B78))</f>
        <v>0h30min</v>
      </c>
      <c r="D78" s="165" t="s">
        <v>139</v>
      </c>
      <c r="E78" s="240"/>
      <c r="F78" s="241"/>
      <c r="G78" s="51"/>
    </row>
    <row r="79" spans="1:7" s="52" customFormat="1" ht="27" x14ac:dyDescent="0.3">
      <c r="A79" s="53" t="s">
        <v>112</v>
      </c>
      <c r="B79" s="54">
        <v>31</v>
      </c>
      <c r="C79" s="153" t="str">
        <f t="shared" ref="C79:C80" si="11" xml:space="preserve"> IF(B79="","",setValueToTime(B79))</f>
        <v>2h35min</v>
      </c>
      <c r="D79" s="166" t="s">
        <v>140</v>
      </c>
      <c r="E79" s="242"/>
      <c r="F79" s="243"/>
      <c r="G79" s="51"/>
    </row>
    <row r="80" spans="1:7" s="52" customFormat="1" ht="15" thickBot="1" x14ac:dyDescent="0.35">
      <c r="A80" s="53" t="s">
        <v>93</v>
      </c>
      <c r="B80" s="54">
        <v>1</v>
      </c>
      <c r="C80" s="155" t="str">
        <f t="shared" si="11"/>
        <v>0h5min</v>
      </c>
      <c r="D80" s="166" t="s">
        <v>118</v>
      </c>
      <c r="E80" s="244"/>
      <c r="F80" s="245"/>
      <c r="G80" s="51"/>
    </row>
    <row r="81" spans="1:7" s="52" customFormat="1" ht="15" thickBot="1" x14ac:dyDescent="0.35">
      <c r="A81" s="111" t="s">
        <v>28</v>
      </c>
      <c r="B81" s="84">
        <f>SUM(B78:B80)</f>
        <v>38</v>
      </c>
      <c r="C81" s="111" t="str">
        <f xml:space="preserve"> setValueToTime(B81)</f>
        <v>3h10min</v>
      </c>
      <c r="D81" s="120"/>
      <c r="E81" s="236"/>
      <c r="F81" s="237"/>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8" t="s">
        <v>15</v>
      </c>
      <c r="F84" s="239"/>
      <c r="G84" s="46"/>
    </row>
    <row r="85" spans="1:7" s="52" customFormat="1" ht="27" x14ac:dyDescent="0.3">
      <c r="A85" s="48" t="s">
        <v>96</v>
      </c>
      <c r="B85" s="49">
        <v>30</v>
      </c>
      <c r="C85" s="152" t="str">
        <f xml:space="preserve"> IF(B85="","",setValueToTime(B85))</f>
        <v>2h30min</v>
      </c>
      <c r="D85" s="165" t="s">
        <v>138</v>
      </c>
      <c r="E85" s="240"/>
      <c r="F85" s="241"/>
      <c r="G85" s="51"/>
    </row>
    <row r="86" spans="1:7" s="52" customFormat="1" x14ac:dyDescent="0.3">
      <c r="A86" s="53" t="s">
        <v>110</v>
      </c>
      <c r="B86" s="54">
        <v>17</v>
      </c>
      <c r="C86" s="153" t="str">
        <f t="shared" ref="C86:C87" si="12" xml:space="preserve"> IF(B86="","",setValueToTime(B86))</f>
        <v>1h25min</v>
      </c>
      <c r="D86" s="166" t="s">
        <v>141</v>
      </c>
      <c r="E86" s="242"/>
      <c r="F86" s="243"/>
      <c r="G86" s="51"/>
    </row>
    <row r="87" spans="1:7" s="52" customFormat="1" ht="15" thickBot="1" x14ac:dyDescent="0.35">
      <c r="A87" s="53" t="s">
        <v>93</v>
      </c>
      <c r="B87" s="54">
        <v>1</v>
      </c>
      <c r="C87" s="155" t="str">
        <f t="shared" si="12"/>
        <v>0h5min</v>
      </c>
      <c r="D87" s="166" t="s">
        <v>118</v>
      </c>
      <c r="E87" s="244"/>
      <c r="F87" s="245"/>
      <c r="G87" s="51"/>
    </row>
    <row r="88" spans="1:7" s="52" customFormat="1" ht="15" thickBot="1" x14ac:dyDescent="0.35">
      <c r="A88" s="111" t="s">
        <v>28</v>
      </c>
      <c r="B88" s="84">
        <f>SUM(B85:B87)</f>
        <v>48</v>
      </c>
      <c r="C88" s="111" t="str">
        <f xml:space="preserve"> setValueToTime(B88)</f>
        <v>4h</v>
      </c>
      <c r="D88" s="120"/>
      <c r="E88" s="236"/>
      <c r="F88" s="237"/>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8" t="s">
        <v>15</v>
      </c>
      <c r="F91" s="239"/>
      <c r="G91" s="46"/>
    </row>
    <row r="92" spans="1:7" s="52" customFormat="1" ht="27" x14ac:dyDescent="0.3">
      <c r="A92" s="48" t="s">
        <v>104</v>
      </c>
      <c r="B92" s="49">
        <v>37</v>
      </c>
      <c r="C92" s="152" t="str">
        <f xml:space="preserve"> IF(B92="","",setValueToTime(B92))</f>
        <v>3h5min</v>
      </c>
      <c r="D92" s="165" t="s">
        <v>137</v>
      </c>
      <c r="E92" s="240"/>
      <c r="F92" s="241"/>
      <c r="G92" s="51"/>
    </row>
    <row r="93" spans="1:7" s="52" customFormat="1" ht="15" thickBot="1" x14ac:dyDescent="0.35">
      <c r="A93" s="53" t="s">
        <v>93</v>
      </c>
      <c r="B93" s="54">
        <v>1</v>
      </c>
      <c r="C93" s="155" t="str">
        <f t="shared" ref="C93" si="13" xml:space="preserve"> IF(B93="","",setValueToTime(B93))</f>
        <v>0h5min</v>
      </c>
      <c r="D93" s="166" t="s">
        <v>118</v>
      </c>
      <c r="E93" s="244"/>
      <c r="F93" s="245"/>
      <c r="G93" s="51"/>
    </row>
    <row r="94" spans="1:7" s="52" customFormat="1" ht="15" thickBot="1" x14ac:dyDescent="0.35">
      <c r="A94" s="111" t="s">
        <v>28</v>
      </c>
      <c r="B94" s="84">
        <f>SUM(B92:B93)</f>
        <v>38</v>
      </c>
      <c r="C94" s="111" t="str">
        <f xml:space="preserve"> setValueToTime(B94)</f>
        <v>3h10min</v>
      </c>
      <c r="D94" s="120"/>
      <c r="E94" s="236"/>
      <c r="F94" s="237"/>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8" t="s">
        <v>15</v>
      </c>
      <c r="F97" s="239"/>
      <c r="G97" s="46"/>
    </row>
    <row r="98" spans="1:7" s="52" customFormat="1" ht="27" x14ac:dyDescent="0.3">
      <c r="A98" s="48" t="s">
        <v>111</v>
      </c>
      <c r="B98" s="49">
        <v>2</v>
      </c>
      <c r="C98" s="152" t="str">
        <f xml:space="preserve"> IF(B98="","",setValueToTime(B98))</f>
        <v>0h10min</v>
      </c>
      <c r="D98" s="165" t="s">
        <v>136</v>
      </c>
      <c r="E98" s="240"/>
      <c r="F98" s="241"/>
      <c r="G98" s="51"/>
    </row>
    <row r="99" spans="1:7" s="52" customFormat="1" ht="27" x14ac:dyDescent="0.3">
      <c r="A99" s="53" t="s">
        <v>105</v>
      </c>
      <c r="B99" s="54">
        <v>26</v>
      </c>
      <c r="C99" s="153" t="str">
        <f t="shared" ref="C99:C101" si="14" xml:space="preserve"> IF(B99="","",setValueToTime(B99))</f>
        <v>2h10min</v>
      </c>
      <c r="D99" s="166" t="s">
        <v>135</v>
      </c>
      <c r="E99" s="242"/>
      <c r="F99" s="243"/>
      <c r="G99" s="51"/>
    </row>
    <row r="100" spans="1:7" s="52" customFormat="1" ht="40.5" x14ac:dyDescent="0.3">
      <c r="A100" s="53" t="s">
        <v>113</v>
      </c>
      <c r="B100" s="54">
        <v>9</v>
      </c>
      <c r="C100" s="153" t="str">
        <f t="shared" si="14"/>
        <v>0h45min</v>
      </c>
      <c r="D100" s="166" t="s">
        <v>159</v>
      </c>
      <c r="E100" s="242"/>
      <c r="F100" s="243"/>
      <c r="G100" s="51"/>
    </row>
    <row r="101" spans="1:7" s="52" customFormat="1" ht="15" thickBot="1" x14ac:dyDescent="0.35">
      <c r="A101" s="53" t="s">
        <v>93</v>
      </c>
      <c r="B101" s="54">
        <v>1</v>
      </c>
      <c r="C101" s="155" t="str">
        <f t="shared" si="14"/>
        <v>0h5min</v>
      </c>
      <c r="D101" s="166" t="s">
        <v>118</v>
      </c>
      <c r="E101" s="244"/>
      <c r="F101" s="245"/>
      <c r="G101" s="51"/>
    </row>
    <row r="102" spans="1:7" s="52" customFormat="1" ht="15" thickBot="1" x14ac:dyDescent="0.35">
      <c r="A102" s="111" t="s">
        <v>28</v>
      </c>
      <c r="B102" s="84">
        <f>SUM(B98:B101)</f>
        <v>38</v>
      </c>
      <c r="C102" s="111" t="str">
        <f xml:space="preserve"> setValueToTime(B102)</f>
        <v>3h10min</v>
      </c>
      <c r="D102" s="120"/>
      <c r="E102" s="236"/>
      <c r="F102" s="237"/>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8" t="s">
        <v>15</v>
      </c>
      <c r="F105" s="239"/>
      <c r="G105" s="46"/>
    </row>
    <row r="106" spans="1:7" s="52" customFormat="1" ht="27" x14ac:dyDescent="0.3">
      <c r="A106" s="48" t="s">
        <v>114</v>
      </c>
      <c r="B106" s="49">
        <v>37</v>
      </c>
      <c r="C106" s="152" t="str">
        <f xml:space="preserve"> IF(B106="","",setValueToTime(B106))</f>
        <v>3h5min</v>
      </c>
      <c r="D106" s="165" t="s">
        <v>134</v>
      </c>
      <c r="E106" s="240"/>
      <c r="F106" s="241"/>
      <c r="G106" s="51"/>
    </row>
    <row r="107" spans="1:7" s="52" customFormat="1" ht="15" thickBot="1" x14ac:dyDescent="0.35">
      <c r="A107" s="53" t="s">
        <v>93</v>
      </c>
      <c r="B107" s="54">
        <v>1</v>
      </c>
      <c r="C107" s="155" t="str">
        <f t="shared" ref="C107" si="15" xml:space="preserve"> IF(B107="","",setValueToTime(B107))</f>
        <v>0h5min</v>
      </c>
      <c r="D107" s="166" t="s">
        <v>118</v>
      </c>
      <c r="E107" s="244"/>
      <c r="F107" s="245"/>
      <c r="G107" s="51"/>
    </row>
    <row r="108" spans="1:7" s="52" customFormat="1" ht="15" thickBot="1" x14ac:dyDescent="0.35">
      <c r="A108" s="111" t="s">
        <v>28</v>
      </c>
      <c r="B108" s="84">
        <f>SUM(B106:B107)</f>
        <v>38</v>
      </c>
      <c r="C108" s="111" t="str">
        <f xml:space="preserve"> setValueToTime(B108)</f>
        <v>3h10min</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8" t="s">
        <v>15</v>
      </c>
      <c r="F111" s="239"/>
      <c r="G111" s="46"/>
    </row>
    <row r="112" spans="1:7" s="52" customFormat="1" ht="15" thickBot="1" x14ac:dyDescent="0.35">
      <c r="A112" s="48" t="s">
        <v>4</v>
      </c>
      <c r="B112" s="49">
        <v>38</v>
      </c>
      <c r="C112" s="152" t="str">
        <f xml:space="preserve"> IF(B112="","",setValueToTime(B112))</f>
        <v>3h10min</v>
      </c>
      <c r="D112" s="165" t="s">
        <v>119</v>
      </c>
      <c r="E112" s="240"/>
      <c r="F112" s="241"/>
      <c r="G112" s="51"/>
    </row>
    <row r="113" spans="1:7" s="52" customFormat="1" ht="15" thickBot="1" x14ac:dyDescent="0.35">
      <c r="A113" s="111" t="s">
        <v>28</v>
      </c>
      <c r="B113" s="84">
        <f>SUM(B112:B112)</f>
        <v>38</v>
      </c>
      <c r="C113" s="111" t="str">
        <f xml:space="preserve"> setValueToTime(B113)</f>
        <v>3h10min</v>
      </c>
      <c r="D113" s="120"/>
      <c r="E113" s="236"/>
      <c r="F113" s="237"/>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8" t="s">
        <v>15</v>
      </c>
      <c r="F116" s="239"/>
      <c r="G116" s="46"/>
    </row>
    <row r="117" spans="1:7" s="52" customFormat="1" ht="15" thickBot="1" x14ac:dyDescent="0.35">
      <c r="A117" s="48" t="s">
        <v>4</v>
      </c>
      <c r="B117" s="49">
        <v>48</v>
      </c>
      <c r="C117" s="152" t="str">
        <f xml:space="preserve"> IF(B117="","",setValueToTime(B117))</f>
        <v>4h</v>
      </c>
      <c r="D117" s="165" t="s">
        <v>119</v>
      </c>
      <c r="E117" s="240"/>
      <c r="F117" s="241"/>
      <c r="G117" s="51"/>
    </row>
    <row r="118" spans="1:7" s="52" customFormat="1" ht="15" thickBot="1" x14ac:dyDescent="0.35">
      <c r="A118" s="111" t="s">
        <v>28</v>
      </c>
      <c r="B118" s="84">
        <f>SUM(B117:B117)</f>
        <v>48</v>
      </c>
      <c r="C118" s="111" t="str">
        <f xml:space="preserve"> setValueToTime(B118)</f>
        <v>4h</v>
      </c>
      <c r="D118" s="120"/>
      <c r="E118" s="236"/>
      <c r="F118" s="237"/>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8" t="s">
        <v>15</v>
      </c>
      <c r="F121" s="239"/>
      <c r="G121" s="46"/>
    </row>
    <row r="122" spans="1:7" s="52" customFormat="1" ht="40.5" x14ac:dyDescent="0.3">
      <c r="A122" s="48" t="s">
        <v>116</v>
      </c>
      <c r="B122" s="49">
        <v>37</v>
      </c>
      <c r="C122" s="152" t="str">
        <f xml:space="preserve"> IF(B122="","",setValueToTime(B122))</f>
        <v>3h5min</v>
      </c>
      <c r="D122" s="165" t="s">
        <v>132</v>
      </c>
      <c r="E122" s="246" t="s">
        <v>131</v>
      </c>
      <c r="F122" s="241"/>
      <c r="G122" s="51"/>
    </row>
    <row r="123" spans="1:7" s="52" customFormat="1" ht="15" thickBot="1" x14ac:dyDescent="0.35">
      <c r="A123" s="53" t="s">
        <v>93</v>
      </c>
      <c r="B123" s="54">
        <v>1</v>
      </c>
      <c r="C123" s="155" t="str">
        <f t="shared" ref="C123" si="16" xml:space="preserve"> IF(B123="","",setValueToTime(B123))</f>
        <v>0h5min</v>
      </c>
      <c r="D123" s="166" t="s">
        <v>118</v>
      </c>
      <c r="E123" s="244"/>
      <c r="F123" s="245"/>
      <c r="G123" s="51"/>
    </row>
    <row r="124" spans="1:7" s="52" customFormat="1" ht="15" thickBot="1" x14ac:dyDescent="0.35">
      <c r="A124" s="111" t="s">
        <v>28</v>
      </c>
      <c r="B124" s="84">
        <f>SUM(B122:B123)</f>
        <v>38</v>
      </c>
      <c r="C124" s="111" t="str">
        <f xml:space="preserve"> setValueToTime(B124)</f>
        <v>3h10min</v>
      </c>
      <c r="D124" s="120"/>
      <c r="E124" s="236"/>
      <c r="F124" s="237"/>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8" t="s">
        <v>15</v>
      </c>
      <c r="F127" s="239"/>
      <c r="G127" s="46"/>
    </row>
    <row r="128" spans="1:7" s="52" customFormat="1" ht="27" x14ac:dyDescent="0.3">
      <c r="A128" s="48" t="s">
        <v>117</v>
      </c>
      <c r="B128" s="49">
        <v>47</v>
      </c>
      <c r="C128" s="152" t="str">
        <f xml:space="preserve"> IF(B128="","",setValueToTime(B128))</f>
        <v>3h55min</v>
      </c>
      <c r="D128" s="165" t="s">
        <v>130</v>
      </c>
      <c r="E128" s="240"/>
      <c r="F128" s="241"/>
      <c r="G128" s="51"/>
    </row>
    <row r="129" spans="1:7" s="52" customFormat="1" ht="15" thickBot="1" x14ac:dyDescent="0.35">
      <c r="A129" s="53" t="s">
        <v>93</v>
      </c>
      <c r="B129" s="54">
        <v>1</v>
      </c>
      <c r="C129" s="155" t="str">
        <f t="shared" ref="C129" si="17" xml:space="preserve"> IF(B129="","",setValueToTime(B129))</f>
        <v>0h5min</v>
      </c>
      <c r="D129" s="166" t="s">
        <v>118</v>
      </c>
      <c r="E129" s="244"/>
      <c r="F129" s="245"/>
      <c r="G129" s="51"/>
    </row>
    <row r="130" spans="1:7" s="52" customFormat="1" ht="15" thickBot="1" x14ac:dyDescent="0.35">
      <c r="A130" s="111" t="s">
        <v>28</v>
      </c>
      <c r="B130" s="84">
        <f>SUM(B128:B129)</f>
        <v>48</v>
      </c>
      <c r="C130" s="111" t="str">
        <f xml:space="preserve"> setValueToTime(B130)</f>
        <v>4h</v>
      </c>
      <c r="D130" s="120"/>
      <c r="E130" s="236"/>
      <c r="F130" s="237"/>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8" t="s">
        <v>15</v>
      </c>
      <c r="F133" s="239"/>
      <c r="G133" s="46"/>
    </row>
    <row r="134" spans="1:7" s="52" customFormat="1" ht="27" x14ac:dyDescent="0.3">
      <c r="A134" s="48" t="s">
        <v>101</v>
      </c>
      <c r="B134" s="49">
        <v>37</v>
      </c>
      <c r="C134" s="152" t="str">
        <f xml:space="preserve"> IF(B134="","",setValueToTime(B134))</f>
        <v>3h5min</v>
      </c>
      <c r="D134" s="165" t="s">
        <v>128</v>
      </c>
      <c r="E134" s="240"/>
      <c r="F134" s="241"/>
      <c r="G134" s="51"/>
    </row>
    <row r="135" spans="1:7" s="52" customFormat="1" ht="15" thickBot="1" x14ac:dyDescent="0.35">
      <c r="A135" s="53" t="s">
        <v>93</v>
      </c>
      <c r="B135" s="54">
        <v>1</v>
      </c>
      <c r="C135" s="155" t="str">
        <f t="shared" ref="C135" si="18" xml:space="preserve"> IF(B135="","",setValueToTime(B135))</f>
        <v>0h5min</v>
      </c>
      <c r="D135" s="166" t="s">
        <v>118</v>
      </c>
      <c r="E135" s="244"/>
      <c r="F135" s="245"/>
      <c r="G135" s="51"/>
    </row>
    <row r="136" spans="1:7" s="52" customFormat="1" ht="15" thickBot="1" x14ac:dyDescent="0.35">
      <c r="A136" s="111" t="s">
        <v>28</v>
      </c>
      <c r="B136" s="84">
        <f>SUM(B134:B135)</f>
        <v>38</v>
      </c>
      <c r="C136" s="111" t="str">
        <f xml:space="preserve"> setValueToTime(B136)</f>
        <v>3h10min</v>
      </c>
      <c r="D136" s="120"/>
      <c r="E136" s="236"/>
      <c r="F136" s="237"/>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8" t="s">
        <v>15</v>
      </c>
      <c r="F139" s="239"/>
      <c r="G139" s="46"/>
    </row>
    <row r="140" spans="1:7" s="52" customFormat="1" ht="27" x14ac:dyDescent="0.3">
      <c r="A140" s="48" t="s">
        <v>101</v>
      </c>
      <c r="B140" s="49">
        <v>37</v>
      </c>
      <c r="C140" s="152" t="str">
        <f xml:space="preserve"> IF(B140="","",setValueToTime(B140))</f>
        <v>3h5min</v>
      </c>
      <c r="D140" s="165" t="s">
        <v>129</v>
      </c>
      <c r="E140" s="240"/>
      <c r="F140" s="241"/>
      <c r="G140" s="51"/>
    </row>
    <row r="141" spans="1:7" s="52" customFormat="1" ht="15" thickBot="1" x14ac:dyDescent="0.35">
      <c r="A141" s="53" t="s">
        <v>93</v>
      </c>
      <c r="B141" s="54">
        <v>1</v>
      </c>
      <c r="C141" s="155" t="str">
        <f t="shared" ref="C141" si="19" xml:space="preserve"> IF(B141="","",setValueToTime(B141))</f>
        <v>0h5min</v>
      </c>
      <c r="D141" s="166" t="s">
        <v>118</v>
      </c>
      <c r="E141" s="244"/>
      <c r="F141" s="245"/>
      <c r="G141" s="51"/>
    </row>
    <row r="142" spans="1:7" s="52" customFormat="1" ht="15" thickBot="1" x14ac:dyDescent="0.35">
      <c r="A142" s="111" t="s">
        <v>28</v>
      </c>
      <c r="B142" s="84">
        <f>SUM(B140:B141)</f>
        <v>38</v>
      </c>
      <c r="C142" s="111" t="str">
        <f xml:space="preserve"> setValueToTime(B142)</f>
        <v>3h10min</v>
      </c>
      <c r="D142" s="120"/>
      <c r="E142" s="236"/>
      <c r="F142" s="237"/>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8" t="s">
        <v>15</v>
      </c>
      <c r="F145" s="239"/>
      <c r="G145" s="46"/>
    </row>
    <row r="146" spans="1:7" s="52" customFormat="1" ht="54" x14ac:dyDescent="0.3">
      <c r="A146" s="48" t="s">
        <v>102</v>
      </c>
      <c r="B146" s="49">
        <v>37</v>
      </c>
      <c r="C146" s="152" t="str">
        <f xml:space="preserve"> IF(B146="","",setValueToTime(B146))</f>
        <v>3h5min</v>
      </c>
      <c r="D146" s="165" t="s">
        <v>127</v>
      </c>
      <c r="E146" s="240"/>
      <c r="F146" s="241"/>
      <c r="G146" s="51"/>
    </row>
    <row r="147" spans="1:7" s="52" customFormat="1" ht="15" thickBot="1" x14ac:dyDescent="0.35">
      <c r="A147" s="53" t="s">
        <v>93</v>
      </c>
      <c r="B147" s="54">
        <v>1</v>
      </c>
      <c r="C147" s="155" t="str">
        <f t="shared" ref="C147" si="20" xml:space="preserve"> IF(B147="","",setValueToTime(B147))</f>
        <v>0h5min</v>
      </c>
      <c r="D147" s="166" t="s">
        <v>118</v>
      </c>
      <c r="E147" s="244"/>
      <c r="F147" s="245"/>
      <c r="G147" s="51"/>
    </row>
    <row r="148" spans="1:7" s="52" customFormat="1" ht="15" thickBot="1" x14ac:dyDescent="0.35">
      <c r="A148" s="111" t="s">
        <v>28</v>
      </c>
      <c r="B148" s="84">
        <f>SUM(B146:B147)</f>
        <v>38</v>
      </c>
      <c r="C148" s="111" t="str">
        <f xml:space="preserve"> setValueToTime(B148)</f>
        <v>3h10min</v>
      </c>
      <c r="D148" s="120"/>
      <c r="E148" s="236"/>
      <c r="F148" s="237"/>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8" t="s">
        <v>15</v>
      </c>
      <c r="F151" s="239"/>
      <c r="G151" s="46"/>
    </row>
    <row r="152" spans="1:7" s="52" customFormat="1" ht="27" x14ac:dyDescent="0.3">
      <c r="A152" s="48" t="s">
        <v>103</v>
      </c>
      <c r="B152" s="49">
        <v>6</v>
      </c>
      <c r="C152" s="152" t="str">
        <f xml:space="preserve"> IF(B152="","",setValueToTime(B152))</f>
        <v>0h30min</v>
      </c>
      <c r="D152" s="165" t="s">
        <v>125</v>
      </c>
      <c r="E152" s="240"/>
      <c r="F152" s="241"/>
      <c r="G152" s="51"/>
    </row>
    <row r="153" spans="1:7" s="52" customFormat="1" ht="27" x14ac:dyDescent="0.3">
      <c r="A153" s="53" t="s">
        <v>111</v>
      </c>
      <c r="B153" s="54">
        <v>4</v>
      </c>
      <c r="C153" s="153" t="str">
        <f t="shared" ref="C153:C155" si="21" xml:space="preserve"> IF(B153="","",setValueToTime(B153))</f>
        <v>0h20min</v>
      </c>
      <c r="D153" s="166" t="s">
        <v>158</v>
      </c>
      <c r="E153" s="242"/>
      <c r="F153" s="243"/>
      <c r="G153" s="51"/>
    </row>
    <row r="154" spans="1:7" s="52" customFormat="1" ht="27" x14ac:dyDescent="0.3">
      <c r="A154" s="53" t="s">
        <v>100</v>
      </c>
      <c r="B154" s="54">
        <v>27</v>
      </c>
      <c r="C154" s="153" t="str">
        <f t="shared" si="21"/>
        <v>2h15min</v>
      </c>
      <c r="D154" s="166" t="s">
        <v>126</v>
      </c>
      <c r="E154" s="242"/>
      <c r="F154" s="243"/>
      <c r="G154" s="51"/>
    </row>
    <row r="155" spans="1:7" s="52" customFormat="1" ht="15" thickBot="1" x14ac:dyDescent="0.35">
      <c r="A155" s="53" t="s">
        <v>93</v>
      </c>
      <c r="B155" s="54">
        <v>1</v>
      </c>
      <c r="C155" s="155" t="str">
        <f t="shared" si="21"/>
        <v>0h5min</v>
      </c>
      <c r="D155" s="166" t="s">
        <v>118</v>
      </c>
      <c r="E155" s="244"/>
      <c r="F155" s="245"/>
      <c r="G155" s="51"/>
    </row>
    <row r="156" spans="1:7" s="52" customFormat="1" ht="15" thickBot="1" x14ac:dyDescent="0.35">
      <c r="A156" s="111" t="s">
        <v>28</v>
      </c>
      <c r="B156" s="84">
        <f>SUM(B152:B155)</f>
        <v>38</v>
      </c>
      <c r="C156" s="111" t="str">
        <f xml:space="preserve"> setValueToTime(B156)</f>
        <v>3h10min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8" t="s">
        <v>15</v>
      </c>
      <c r="F159" s="239"/>
      <c r="G159" s="46"/>
    </row>
    <row r="160" spans="1:7" s="52" customFormat="1" x14ac:dyDescent="0.3">
      <c r="A160" s="48" t="s">
        <v>97</v>
      </c>
      <c r="B160" s="49">
        <v>47</v>
      </c>
      <c r="C160" s="152" t="str">
        <f xml:space="preserve"> IF(B160="","",setValueToTime(B160))</f>
        <v>3h55min</v>
      </c>
      <c r="D160" s="165" t="s">
        <v>120</v>
      </c>
      <c r="E160" s="240"/>
      <c r="F160" s="241"/>
      <c r="G160" s="51"/>
    </row>
    <row r="161" spans="1:7" s="52" customFormat="1" ht="15" thickBot="1" x14ac:dyDescent="0.35">
      <c r="A161" s="53" t="s">
        <v>93</v>
      </c>
      <c r="B161" s="54">
        <v>1</v>
      </c>
      <c r="C161" s="153" t="str">
        <f t="shared" ref="C161" si="22" xml:space="preserve"> IF(B161="","",setValueToTime(B161))</f>
        <v>0h5min</v>
      </c>
      <c r="D161" s="166" t="s">
        <v>118</v>
      </c>
      <c r="E161" s="242"/>
      <c r="F161" s="243"/>
      <c r="G161" s="51"/>
    </row>
    <row r="162" spans="1:7" s="52" customFormat="1" ht="15" thickBot="1" x14ac:dyDescent="0.35">
      <c r="A162" s="111" t="s">
        <v>28</v>
      </c>
      <c r="B162" s="84">
        <f>SUM(B160:B161)</f>
        <v>48</v>
      </c>
      <c r="C162" s="111" t="str">
        <f xml:space="preserve"> setValueToTime(B162)</f>
        <v>4h</v>
      </c>
      <c r="D162" s="120"/>
      <c r="E162" s="236"/>
      <c r="F162" s="237"/>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8" t="s">
        <v>15</v>
      </c>
      <c r="F165" s="239"/>
      <c r="G165" s="46"/>
    </row>
    <row r="166" spans="1:7" s="52" customFormat="1" x14ac:dyDescent="0.3">
      <c r="A166" s="48" t="s">
        <v>97</v>
      </c>
      <c r="B166" s="49">
        <v>37</v>
      </c>
      <c r="C166" s="152" t="str">
        <f xml:space="preserve"> IF(B166="","",setValueToTime(B166))</f>
        <v>3h5min</v>
      </c>
      <c r="D166" s="165" t="s">
        <v>124</v>
      </c>
      <c r="E166" s="240"/>
      <c r="F166" s="241"/>
      <c r="G166" s="51"/>
    </row>
    <row r="167" spans="1:7" s="52" customFormat="1" ht="15" thickBot="1" x14ac:dyDescent="0.35">
      <c r="A167" s="53" t="s">
        <v>93</v>
      </c>
      <c r="B167" s="54">
        <v>1</v>
      </c>
      <c r="C167" s="153" t="str">
        <f t="shared" ref="C167" si="23" xml:space="preserve"> IF(B167="","",setValueToTime(B167))</f>
        <v>0h5min</v>
      </c>
      <c r="D167" s="166" t="s">
        <v>118</v>
      </c>
      <c r="E167" s="242"/>
      <c r="F167" s="243"/>
      <c r="G167" s="51"/>
    </row>
    <row r="168" spans="1:7" s="52" customFormat="1" ht="15" thickBot="1" x14ac:dyDescent="0.35">
      <c r="A168" s="111" t="s">
        <v>28</v>
      </c>
      <c r="B168" s="84">
        <f>SUM(B166:B167)</f>
        <v>38</v>
      </c>
      <c r="C168" s="111" t="str">
        <f xml:space="preserve"> setValueToTime(B168)</f>
        <v>3h10min</v>
      </c>
      <c r="D168" s="120"/>
      <c r="E168" s="236"/>
      <c r="F168" s="237"/>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50" priority="34" operator="greaterThan">
      <formula>60</formula>
    </cfRule>
  </conditionalFormatting>
  <conditionalFormatting sqref="B162">
    <cfRule type="cellIs" dxfId="49" priority="33" operator="greaterThan">
      <formula>60</formula>
    </cfRule>
  </conditionalFormatting>
  <conditionalFormatting sqref="B156">
    <cfRule type="cellIs" dxfId="48" priority="32" operator="greaterThan">
      <formula>60</formula>
    </cfRule>
  </conditionalFormatting>
  <conditionalFormatting sqref="B148">
    <cfRule type="cellIs" dxfId="47" priority="31" operator="greaterThan">
      <formula>60</formula>
    </cfRule>
  </conditionalFormatting>
  <conditionalFormatting sqref="B142">
    <cfRule type="cellIs" dxfId="46" priority="30" operator="greaterThan">
      <formula>60</formula>
    </cfRule>
  </conditionalFormatting>
  <conditionalFormatting sqref="B136">
    <cfRule type="cellIs" dxfId="45" priority="29" operator="greaterThan">
      <formula>60</formula>
    </cfRule>
  </conditionalFormatting>
  <conditionalFormatting sqref="B130">
    <cfRule type="cellIs" dxfId="44" priority="28" operator="greaterThan">
      <formula>60</formula>
    </cfRule>
  </conditionalFormatting>
  <conditionalFormatting sqref="B124">
    <cfRule type="cellIs" dxfId="43" priority="27" operator="greaterThan">
      <formula>60</formula>
    </cfRule>
  </conditionalFormatting>
  <conditionalFormatting sqref="B118">
    <cfRule type="cellIs" dxfId="42" priority="26" operator="greaterThan">
      <formula>60</formula>
    </cfRule>
  </conditionalFormatting>
  <conditionalFormatting sqref="B113">
    <cfRule type="cellIs" dxfId="41" priority="25" operator="greaterThan">
      <formula>60</formula>
    </cfRule>
  </conditionalFormatting>
  <conditionalFormatting sqref="B108">
    <cfRule type="cellIs" dxfId="40" priority="24" operator="greaterThan">
      <formula>60</formula>
    </cfRule>
  </conditionalFormatting>
  <conditionalFormatting sqref="B102">
    <cfRule type="cellIs" dxfId="39" priority="23" operator="greaterThan">
      <formula>60</formula>
    </cfRule>
  </conditionalFormatting>
  <conditionalFormatting sqref="B94">
    <cfRule type="cellIs" dxfId="38" priority="22" operator="greaterThan">
      <formula>60</formula>
    </cfRule>
  </conditionalFormatting>
  <conditionalFormatting sqref="B88">
    <cfRule type="cellIs" dxfId="37" priority="21" operator="greaterThan">
      <formula>60</formula>
    </cfRule>
  </conditionalFormatting>
  <conditionalFormatting sqref="B81">
    <cfRule type="cellIs" dxfId="36" priority="20" operator="greaterThan">
      <formula>60</formula>
    </cfRule>
  </conditionalFormatting>
  <conditionalFormatting sqref="B74">
    <cfRule type="cellIs" dxfId="35" priority="15" operator="greaterThan">
      <formula>60</formula>
    </cfRule>
  </conditionalFormatting>
  <conditionalFormatting sqref="B67">
    <cfRule type="cellIs" dxfId="34" priority="14" operator="greaterThan">
      <formula>60</formula>
    </cfRule>
  </conditionalFormatting>
  <conditionalFormatting sqref="B60">
    <cfRule type="cellIs" dxfId="33" priority="13" operator="greaterThan">
      <formula>60</formula>
    </cfRule>
  </conditionalFormatting>
  <conditionalFormatting sqref="B54">
    <cfRule type="cellIs" dxfId="32" priority="12" operator="greaterThan">
      <formula>60</formula>
    </cfRule>
  </conditionalFormatting>
  <conditionalFormatting sqref="B48">
    <cfRule type="cellIs" dxfId="31" priority="11" operator="greaterThan">
      <formula>60</formula>
    </cfRule>
  </conditionalFormatting>
  <conditionalFormatting sqref="B42">
    <cfRule type="cellIs" dxfId="30" priority="10" operator="greaterThan">
      <formula>60</formula>
    </cfRule>
  </conditionalFormatting>
  <conditionalFormatting sqref="B35">
    <cfRule type="cellIs" dxfId="29" priority="9" operator="greaterThan">
      <formula>60</formula>
    </cfRule>
  </conditionalFormatting>
  <conditionalFormatting sqref="B29">
    <cfRule type="cellIs" dxfId="28" priority="7" operator="greaterThan">
      <formula>60</formula>
    </cfRule>
  </conditionalFormatting>
  <conditionalFormatting sqref="B23">
    <cfRule type="cellIs" dxfId="27" priority="6" operator="greaterThan">
      <formula>60</formula>
    </cfRule>
  </conditionalFormatting>
  <conditionalFormatting sqref="B17">
    <cfRule type="cellIs" dxfId="26" priority="5" operator="greaterThan">
      <formula>60</formula>
    </cfRule>
  </conditionalFormatting>
  <conditionalFormatting sqref="B11">
    <cfRule type="cellIs" dxfId="25" priority="4" operator="greaterThan">
      <formula>60</formula>
    </cfRule>
  </conditionalFormatting>
  <conditionalFormatting sqref="B5">
    <cfRule type="cellIs" dxfId="24"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xr:uid="{00000000-0002-0000-0200-000000000000}">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xr:uid="{00000000-0002-0000-0200-00000100000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xr:uid="{00000000-0002-0000-0200-00000200000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65"/>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22</v>
      </c>
      <c r="C2" s="164"/>
      <c r="D2" s="157" t="s">
        <v>16</v>
      </c>
      <c r="E2" s="158" t="s">
        <v>52</v>
      </c>
      <c r="F2" s="159" t="s">
        <v>44</v>
      </c>
      <c r="G2" s="46"/>
    </row>
    <row r="3" spans="1:7" s="47" customFormat="1" ht="30" customHeight="1" thickBot="1" x14ac:dyDescent="0.3">
      <c r="A3" s="78" t="s">
        <v>5</v>
      </c>
      <c r="B3" s="161" t="s">
        <v>39</v>
      </c>
      <c r="C3" s="160"/>
      <c r="D3" s="78" t="s">
        <v>14</v>
      </c>
      <c r="E3" s="249" t="s">
        <v>15</v>
      </c>
      <c r="F3" s="250"/>
      <c r="G3" s="46"/>
    </row>
    <row r="4" spans="1:7" s="52" customFormat="1" ht="27" x14ac:dyDescent="0.3">
      <c r="A4" s="48" t="s">
        <v>115</v>
      </c>
      <c r="B4" s="49">
        <v>18</v>
      </c>
      <c r="C4" s="152" t="str">
        <f xml:space="preserve"> IF(B4="","",setValueToTime(B4))</f>
        <v>1h30min</v>
      </c>
      <c r="D4" s="165" t="s">
        <v>221</v>
      </c>
      <c r="E4" s="240"/>
      <c r="F4" s="241"/>
      <c r="G4" s="51"/>
    </row>
    <row r="5" spans="1:7" s="52" customFormat="1" x14ac:dyDescent="0.3">
      <c r="A5" s="53" t="s">
        <v>98</v>
      </c>
      <c r="B5" s="54">
        <v>20</v>
      </c>
      <c r="C5" s="153" t="str">
        <f t="shared" ref="C5:C11" si="0" xml:space="preserve"> IF(B5="","",setValueToTime(B5))</f>
        <v>1h40min</v>
      </c>
      <c r="D5" s="166" t="s">
        <v>222</v>
      </c>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t="s">
        <v>227</v>
      </c>
      <c r="E7" s="242"/>
      <c r="F7" s="243"/>
      <c r="G7" s="51"/>
    </row>
    <row r="8" spans="1:7" s="52" customFormat="1" ht="40.5" x14ac:dyDescent="0.3">
      <c r="A8" s="54" t="s">
        <v>94</v>
      </c>
      <c r="B8" s="54">
        <v>5</v>
      </c>
      <c r="C8" s="154" t="str">
        <f t="shared" si="0"/>
        <v>0h25min</v>
      </c>
      <c r="D8" s="55" t="s">
        <v>225</v>
      </c>
      <c r="E8" s="242"/>
      <c r="F8" s="243"/>
      <c r="G8" s="51"/>
    </row>
    <row r="9" spans="1:7" s="52" customFormat="1" ht="27" x14ac:dyDescent="0.3">
      <c r="A9" s="54" t="s">
        <v>110</v>
      </c>
      <c r="B9" s="54">
        <v>6</v>
      </c>
      <c r="C9" s="154" t="str">
        <f t="shared" si="0"/>
        <v>0h30min</v>
      </c>
      <c r="D9" s="55" t="s">
        <v>223</v>
      </c>
      <c r="E9" s="242"/>
      <c r="F9" s="243"/>
      <c r="G9" s="51"/>
    </row>
    <row r="10" spans="1:7" s="52" customFormat="1" ht="27" x14ac:dyDescent="0.3">
      <c r="A10" s="54" t="s">
        <v>94</v>
      </c>
      <c r="B10" s="54">
        <v>10</v>
      </c>
      <c r="C10" s="154" t="str">
        <f t="shared" si="0"/>
        <v>0h50min</v>
      </c>
      <c r="D10" s="55" t="s">
        <v>224</v>
      </c>
      <c r="E10" s="242" t="s">
        <v>226</v>
      </c>
      <c r="F10" s="243"/>
      <c r="G10" s="51"/>
    </row>
    <row r="11" spans="1:7" s="52" customFormat="1" ht="27.75" thickBot="1" x14ac:dyDescent="0.35">
      <c r="A11" s="56" t="s">
        <v>110</v>
      </c>
      <c r="B11" s="56">
        <v>12</v>
      </c>
      <c r="C11" s="155" t="str">
        <f t="shared" si="0"/>
        <v>1h</v>
      </c>
      <c r="D11" s="57" t="s">
        <v>228</v>
      </c>
      <c r="E11" s="244"/>
      <c r="F11" s="245"/>
      <c r="G11" s="51"/>
    </row>
    <row r="12" spans="1:7" s="52" customFormat="1" ht="15" thickBot="1" x14ac:dyDescent="0.35">
      <c r="A12" s="162" t="s">
        <v>28</v>
      </c>
      <c r="B12" s="83">
        <f>SUM(B4:B11)</f>
        <v>71</v>
      </c>
      <c r="C12" s="162" t="str">
        <f xml:space="preserve"> setValueToTime(B12)</f>
        <v>5h55min</v>
      </c>
      <c r="D12" s="121"/>
      <c r="E12" s="247"/>
      <c r="F12" s="248"/>
      <c r="G12" s="51"/>
    </row>
    <row r="13" spans="1:7" s="59" customFormat="1" ht="15" thickBot="1" x14ac:dyDescent="0.35">
      <c r="A13" s="77"/>
      <c r="B13" s="77"/>
      <c r="C13" s="77"/>
      <c r="D13" s="77"/>
      <c r="E13" s="77"/>
      <c r="F13" s="77"/>
      <c r="G13" s="58"/>
    </row>
    <row r="14" spans="1:7" s="47" customFormat="1" ht="30" customHeight="1" thickBot="1" x14ac:dyDescent="0.3">
      <c r="A14" s="156" t="s">
        <v>13</v>
      </c>
      <c r="B14" s="164">
        <v>21</v>
      </c>
      <c r="C14" s="164"/>
      <c r="D14" s="157" t="s">
        <v>16</v>
      </c>
      <c r="E14" s="158" t="s">
        <v>52</v>
      </c>
      <c r="F14" s="159" t="s">
        <v>45</v>
      </c>
      <c r="G14" s="46"/>
    </row>
    <row r="15" spans="1:7" s="47" customFormat="1" ht="30" customHeight="1" thickBot="1" x14ac:dyDescent="0.3">
      <c r="A15" s="78" t="s">
        <v>5</v>
      </c>
      <c r="B15" s="161" t="s">
        <v>39</v>
      </c>
      <c r="C15" s="160"/>
      <c r="D15" s="78" t="s">
        <v>14</v>
      </c>
      <c r="E15" s="249" t="s">
        <v>15</v>
      </c>
      <c r="F15" s="250"/>
      <c r="G15" s="46"/>
    </row>
    <row r="16" spans="1:7" s="52" customFormat="1" ht="40.5" x14ac:dyDescent="0.3">
      <c r="A16" s="48" t="s">
        <v>109</v>
      </c>
      <c r="B16" s="49">
        <v>37</v>
      </c>
      <c r="C16" s="152" t="str">
        <f xml:space="preserve"> IF(B16="","",setValueToTime(B16))</f>
        <v>3h5min</v>
      </c>
      <c r="D16" s="165" t="s">
        <v>220</v>
      </c>
      <c r="E16" s="240"/>
      <c r="F16" s="241"/>
      <c r="G16" s="51"/>
    </row>
    <row r="17" spans="1:7" s="52" customFormat="1" ht="27" x14ac:dyDescent="0.3">
      <c r="A17" s="53" t="s">
        <v>93</v>
      </c>
      <c r="B17" s="54">
        <v>1</v>
      </c>
      <c r="C17" s="153" t="str">
        <f t="shared" ref="C17:C23" si="1" xml:space="preserve"> IF(B17="","",setValueToTime(B17))</f>
        <v>0h5min</v>
      </c>
      <c r="D17" s="166" t="s">
        <v>173</v>
      </c>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62" t="s">
        <v>28</v>
      </c>
      <c r="B24" s="83">
        <f>SUM(B16:B23)</f>
        <v>38</v>
      </c>
      <c r="C24" s="162" t="str">
        <f xml:space="preserve"> setValueToTime(B24)</f>
        <v>3h10min</v>
      </c>
      <c r="D24" s="121"/>
      <c r="E24" s="247"/>
      <c r="F24" s="248"/>
      <c r="G24" s="51"/>
    </row>
    <row r="25" spans="1:7" s="59" customFormat="1" ht="15" thickBot="1" x14ac:dyDescent="0.35">
      <c r="A25" s="77"/>
      <c r="B25" s="77"/>
      <c r="C25" s="77"/>
      <c r="D25" s="77"/>
      <c r="E25" s="77"/>
      <c r="F25" s="77"/>
      <c r="G25" s="58"/>
    </row>
    <row r="26" spans="1:7" s="47" customFormat="1" ht="30" customHeight="1" thickBot="1" x14ac:dyDescent="0.3">
      <c r="A26" s="156" t="s">
        <v>13</v>
      </c>
      <c r="B26" s="164">
        <v>20</v>
      </c>
      <c r="C26" s="164"/>
      <c r="D26" s="157" t="s">
        <v>16</v>
      </c>
      <c r="E26" s="158" t="s">
        <v>55</v>
      </c>
      <c r="F26" s="159" t="s">
        <v>44</v>
      </c>
      <c r="G26" s="46"/>
    </row>
    <row r="27" spans="1:7" s="47" customFormat="1" ht="30" customHeight="1" thickBot="1" x14ac:dyDescent="0.3">
      <c r="A27" s="78" t="s">
        <v>5</v>
      </c>
      <c r="B27" s="161" t="s">
        <v>39</v>
      </c>
      <c r="C27" s="160"/>
      <c r="D27" s="78" t="s">
        <v>14</v>
      </c>
      <c r="E27" s="249" t="s">
        <v>15</v>
      </c>
      <c r="F27" s="250"/>
      <c r="G27" s="46"/>
    </row>
    <row r="28" spans="1:7" s="52" customFormat="1" x14ac:dyDescent="0.3">
      <c r="A28" s="48" t="s">
        <v>98</v>
      </c>
      <c r="B28" s="49">
        <v>34</v>
      </c>
      <c r="C28" s="152" t="str">
        <f xml:space="preserve"> IF(B28="","",setValueToTime(B28))</f>
        <v>2h50min</v>
      </c>
      <c r="D28" s="165" t="s">
        <v>217</v>
      </c>
      <c r="E28" s="240"/>
      <c r="F28" s="241"/>
      <c r="G28" s="51"/>
    </row>
    <row r="29" spans="1:7" s="52" customFormat="1" ht="27" x14ac:dyDescent="0.3">
      <c r="A29" s="53" t="s">
        <v>93</v>
      </c>
      <c r="B29" s="54">
        <v>2</v>
      </c>
      <c r="C29" s="153" t="str">
        <f t="shared" ref="C29:C35" si="2" xml:space="preserve"> IF(B29="","",setValueToTime(B29))</f>
        <v>0h10min</v>
      </c>
      <c r="D29" s="166" t="s">
        <v>218</v>
      </c>
      <c r="E29" s="242"/>
      <c r="F29" s="243"/>
      <c r="G29" s="51"/>
    </row>
    <row r="30" spans="1:7" s="52" customFormat="1" ht="27" x14ac:dyDescent="0.3">
      <c r="A30" s="53" t="s">
        <v>89</v>
      </c>
      <c r="B30" s="54">
        <v>2</v>
      </c>
      <c r="C30" s="153" t="str">
        <f t="shared" si="2"/>
        <v>0h10min</v>
      </c>
      <c r="D30" s="166" t="s">
        <v>219</v>
      </c>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62" t="s">
        <v>28</v>
      </c>
      <c r="B36" s="83">
        <f>SUM(B28:B35)</f>
        <v>38</v>
      </c>
      <c r="C36" s="162" t="str">
        <f xml:space="preserve"> setValueToTime(B36)</f>
        <v>3h10min</v>
      </c>
      <c r="D36" s="121"/>
      <c r="E36" s="247"/>
      <c r="F36" s="248"/>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19</v>
      </c>
      <c r="C38" s="164"/>
      <c r="D38" s="157" t="s">
        <v>16</v>
      </c>
      <c r="E38" s="158" t="s">
        <v>55</v>
      </c>
      <c r="F38" s="159" t="s">
        <v>45</v>
      </c>
      <c r="G38" s="46"/>
    </row>
    <row r="39" spans="1:7" s="47" customFormat="1" ht="30" customHeight="1" thickBot="1" x14ac:dyDescent="0.3">
      <c r="A39" s="78" t="s">
        <v>5</v>
      </c>
      <c r="B39" s="161" t="s">
        <v>39</v>
      </c>
      <c r="C39" s="160"/>
      <c r="D39" s="78" t="s">
        <v>14</v>
      </c>
      <c r="E39" s="249" t="s">
        <v>15</v>
      </c>
      <c r="F39" s="250"/>
      <c r="G39" s="46"/>
    </row>
    <row r="40" spans="1:7" s="52" customFormat="1" ht="108" x14ac:dyDescent="0.3">
      <c r="A40" s="48" t="s">
        <v>106</v>
      </c>
      <c r="B40" s="49">
        <v>14</v>
      </c>
      <c r="C40" s="152" t="str">
        <f xml:space="preserve"> IF(B40="","",setValueToTime(B40))</f>
        <v>1h10min</v>
      </c>
      <c r="D40" s="165" t="s">
        <v>214</v>
      </c>
      <c r="E40" s="240"/>
      <c r="F40" s="241"/>
      <c r="G40" s="51"/>
    </row>
    <row r="41" spans="1:7" s="52" customFormat="1" x14ac:dyDescent="0.3">
      <c r="A41" s="53" t="s">
        <v>98</v>
      </c>
      <c r="B41" s="54">
        <v>34</v>
      </c>
      <c r="C41" s="153" t="str">
        <f t="shared" ref="C41:C47" si="3" xml:space="preserve"> IF(B41="","",setValueToTime(B41))</f>
        <v>2h50min</v>
      </c>
      <c r="D41" s="166" t="s">
        <v>216</v>
      </c>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62" t="s">
        <v>28</v>
      </c>
      <c r="B48" s="83">
        <f>SUM(B40:B47)</f>
        <v>48</v>
      </c>
      <c r="C48" s="162" t="str">
        <f xml:space="preserve"> setValueToTime(B48)</f>
        <v>4h</v>
      </c>
      <c r="D48" s="121"/>
      <c r="E48" s="247"/>
      <c r="F48" s="248"/>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18</v>
      </c>
      <c r="C50" s="164"/>
      <c r="D50" s="157" t="s">
        <v>16</v>
      </c>
      <c r="E50" s="158" t="s">
        <v>58</v>
      </c>
      <c r="F50" s="159" t="s">
        <v>44</v>
      </c>
      <c r="G50" s="46"/>
    </row>
    <row r="51" spans="1:7" s="47" customFormat="1" ht="30" customHeight="1" thickBot="1" x14ac:dyDescent="0.3">
      <c r="A51" s="78" t="s">
        <v>5</v>
      </c>
      <c r="B51" s="161" t="s">
        <v>39</v>
      </c>
      <c r="C51" s="160"/>
      <c r="D51" s="78" t="s">
        <v>14</v>
      </c>
      <c r="E51" s="249" t="s">
        <v>15</v>
      </c>
      <c r="F51" s="250"/>
      <c r="G51" s="46"/>
    </row>
    <row r="52" spans="1:7" s="52" customFormat="1" x14ac:dyDescent="0.3">
      <c r="A52" s="48" t="s">
        <v>4</v>
      </c>
      <c r="B52" s="49">
        <v>1</v>
      </c>
      <c r="C52" s="152" t="str">
        <f xml:space="preserve"> IF(B52="","",setValueToTime(B52))</f>
        <v>0h5min</v>
      </c>
      <c r="D52" s="165" t="s">
        <v>210</v>
      </c>
      <c r="E52" s="240"/>
      <c r="F52" s="241"/>
      <c r="G52" s="51"/>
    </row>
    <row r="53" spans="1:7" s="52" customFormat="1" ht="40.5" x14ac:dyDescent="0.3">
      <c r="A53" s="53" t="s">
        <v>116</v>
      </c>
      <c r="B53" s="54">
        <v>12</v>
      </c>
      <c r="C53" s="153" t="str">
        <f t="shared" ref="C53:C59" si="4" xml:space="preserve"> IF(B53="","",setValueToTime(B53))</f>
        <v>1h</v>
      </c>
      <c r="D53" s="166" t="s">
        <v>211</v>
      </c>
      <c r="E53" s="242"/>
      <c r="F53" s="243"/>
      <c r="G53" s="51"/>
    </row>
    <row r="54" spans="1:7" s="52" customFormat="1" ht="54" x14ac:dyDescent="0.3">
      <c r="A54" s="53" t="s">
        <v>106</v>
      </c>
      <c r="B54" s="54">
        <v>16</v>
      </c>
      <c r="C54" s="153" t="str">
        <f t="shared" si="4"/>
        <v>1h20min</v>
      </c>
      <c r="D54" s="166" t="s">
        <v>212</v>
      </c>
      <c r="E54" s="242"/>
      <c r="F54" s="243"/>
      <c r="G54" s="51"/>
    </row>
    <row r="55" spans="1:7" s="52" customFormat="1" ht="27" x14ac:dyDescent="0.3">
      <c r="A55" s="53" t="s">
        <v>109</v>
      </c>
      <c r="B55" s="54">
        <v>5</v>
      </c>
      <c r="C55" s="153" t="str">
        <f t="shared" si="4"/>
        <v>0h25min</v>
      </c>
      <c r="D55" s="166" t="s">
        <v>213</v>
      </c>
      <c r="E55" s="242"/>
      <c r="F55" s="243"/>
      <c r="G55" s="51"/>
    </row>
    <row r="56" spans="1:7" s="52" customFormat="1" ht="27" x14ac:dyDescent="0.3">
      <c r="A56" s="54" t="s">
        <v>89</v>
      </c>
      <c r="B56" s="54">
        <v>4</v>
      </c>
      <c r="C56" s="154" t="str">
        <f t="shared" si="4"/>
        <v>0h20min</v>
      </c>
      <c r="D56" s="166" t="s">
        <v>215</v>
      </c>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62" t="s">
        <v>28</v>
      </c>
      <c r="B60" s="83">
        <f>SUM(B52:B59)</f>
        <v>38</v>
      </c>
      <c r="C60" s="162" t="str">
        <f xml:space="preserve"> setValueToTime(B60)</f>
        <v>3h10min</v>
      </c>
      <c r="D60" s="121"/>
      <c r="E60" s="247"/>
      <c r="F60" s="248"/>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17</v>
      </c>
      <c r="C62" s="164"/>
      <c r="D62" s="157" t="s">
        <v>16</v>
      </c>
      <c r="E62" s="158" t="s">
        <v>58</v>
      </c>
      <c r="F62" s="159" t="s">
        <v>45</v>
      </c>
      <c r="G62" s="46"/>
    </row>
    <row r="63" spans="1:7" s="47" customFormat="1" ht="30" customHeight="1" thickBot="1" x14ac:dyDescent="0.3">
      <c r="A63" s="78" t="s">
        <v>5</v>
      </c>
      <c r="B63" s="161" t="s">
        <v>39</v>
      </c>
      <c r="C63" s="160"/>
      <c r="D63" s="78" t="s">
        <v>14</v>
      </c>
      <c r="E63" s="249" t="s">
        <v>15</v>
      </c>
      <c r="F63" s="250"/>
      <c r="G63" s="46"/>
    </row>
    <row r="64" spans="1:7" s="52" customFormat="1" ht="67.5" x14ac:dyDescent="0.3">
      <c r="A64" s="48" t="s">
        <v>117</v>
      </c>
      <c r="B64" s="49">
        <v>5</v>
      </c>
      <c r="C64" s="152" t="str">
        <f xml:space="preserve"> IF(B64="","",setValueToTime(B64))</f>
        <v>0h25min</v>
      </c>
      <c r="D64" s="165" t="s">
        <v>208</v>
      </c>
      <c r="E64" s="240"/>
      <c r="F64" s="241"/>
      <c r="G64" s="51"/>
    </row>
    <row r="65" spans="1:7" s="52" customFormat="1" ht="94.5" x14ac:dyDescent="0.3">
      <c r="A65" s="53" t="s">
        <v>107</v>
      </c>
      <c r="B65" s="54">
        <v>43</v>
      </c>
      <c r="C65" s="153" t="str">
        <f t="shared" ref="C65:C71" si="5" xml:space="preserve"> IF(B65="","",setValueToTime(B65))</f>
        <v>3h35min</v>
      </c>
      <c r="D65" s="166" t="s">
        <v>209</v>
      </c>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62" t="s">
        <v>28</v>
      </c>
      <c r="B72" s="83">
        <f>SUM(B64:B71)</f>
        <v>48</v>
      </c>
      <c r="C72" s="162" t="str">
        <f xml:space="preserve"> setValueToTime(B72)</f>
        <v>4h</v>
      </c>
      <c r="D72" s="121"/>
      <c r="E72" s="247"/>
      <c r="F72" s="248"/>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16</v>
      </c>
      <c r="C74" s="164"/>
      <c r="D74" s="157" t="s">
        <v>16</v>
      </c>
      <c r="E74" s="158" t="s">
        <v>61</v>
      </c>
      <c r="F74" s="159" t="s">
        <v>45</v>
      </c>
      <c r="G74" s="46"/>
    </row>
    <row r="75" spans="1:7" s="47" customFormat="1" ht="30" customHeight="1" thickBot="1" x14ac:dyDescent="0.3">
      <c r="A75" s="78" t="s">
        <v>5</v>
      </c>
      <c r="B75" s="161" t="s">
        <v>39</v>
      </c>
      <c r="C75" s="160"/>
      <c r="D75" s="78" t="s">
        <v>14</v>
      </c>
      <c r="E75" s="249" t="s">
        <v>15</v>
      </c>
      <c r="F75" s="250"/>
      <c r="G75" s="46"/>
    </row>
    <row r="76" spans="1:7" s="52" customFormat="1" ht="54" x14ac:dyDescent="0.3">
      <c r="A76" s="48" t="s">
        <v>98</v>
      </c>
      <c r="B76" s="49">
        <v>36</v>
      </c>
      <c r="C76" s="152" t="str">
        <f xml:space="preserve"> IF(B76="","",setValueToTime(B76))</f>
        <v>3h</v>
      </c>
      <c r="D76" s="165" t="s">
        <v>207</v>
      </c>
      <c r="E76" s="240"/>
      <c r="F76" s="241"/>
      <c r="G76" s="51"/>
    </row>
    <row r="77" spans="1:7" s="52" customFormat="1" ht="27" x14ac:dyDescent="0.3">
      <c r="A77" s="53" t="s">
        <v>93</v>
      </c>
      <c r="B77" s="54">
        <v>2</v>
      </c>
      <c r="C77" s="153" t="str">
        <f t="shared" ref="C77:C83" si="6" xml:space="preserve"> IF(B77="","",setValueToTime(B77))</f>
        <v>0h10min</v>
      </c>
      <c r="D77" s="166" t="s">
        <v>91</v>
      </c>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62" t="s">
        <v>28</v>
      </c>
      <c r="B84" s="83">
        <f>SUM(B76:B83)</f>
        <v>38</v>
      </c>
      <c r="C84" s="162" t="str">
        <f xml:space="preserve"> setValueToTime(B84)</f>
        <v>3h10min</v>
      </c>
      <c r="D84" s="121"/>
      <c r="E84" s="247"/>
      <c r="F84" s="248"/>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15</v>
      </c>
      <c r="C86" s="164"/>
      <c r="D86" s="157" t="s">
        <v>16</v>
      </c>
      <c r="E86" s="158" t="s">
        <v>67</v>
      </c>
      <c r="F86" s="159" t="s">
        <v>44</v>
      </c>
      <c r="G86" s="46"/>
    </row>
    <row r="87" spans="1:7" s="47" customFormat="1" ht="30" customHeight="1" thickBot="1" x14ac:dyDescent="0.3">
      <c r="A87" s="78" t="s">
        <v>5</v>
      </c>
      <c r="B87" s="161" t="s">
        <v>39</v>
      </c>
      <c r="C87" s="160"/>
      <c r="D87" s="78" t="s">
        <v>14</v>
      </c>
      <c r="E87" s="249" t="s">
        <v>15</v>
      </c>
      <c r="F87" s="250"/>
      <c r="G87" s="46"/>
    </row>
    <row r="88" spans="1:7" s="52" customFormat="1" ht="27" x14ac:dyDescent="0.3">
      <c r="A88" s="48" t="s">
        <v>95</v>
      </c>
      <c r="B88" s="49">
        <v>15</v>
      </c>
      <c r="C88" s="152" t="str">
        <f xml:space="preserve"> IF(B88="","",setValueToTime(B88))</f>
        <v>1h15min</v>
      </c>
      <c r="D88" s="165" t="s">
        <v>205</v>
      </c>
      <c r="E88" s="240"/>
      <c r="F88" s="241"/>
      <c r="G88" s="51"/>
    </row>
    <row r="89" spans="1:7" s="52" customFormat="1" ht="54" x14ac:dyDescent="0.3">
      <c r="A89" s="53" t="s">
        <v>112</v>
      </c>
      <c r="B89" s="54">
        <v>23</v>
      </c>
      <c r="C89" s="153" t="str">
        <f t="shared" ref="C89:C95" si="7" xml:space="preserve"> IF(B89="","",setValueToTime(B89))</f>
        <v>1h55min</v>
      </c>
      <c r="D89" s="166" t="s">
        <v>206</v>
      </c>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62" t="s">
        <v>28</v>
      </c>
      <c r="B96" s="83">
        <f>SUM(B88:B95)</f>
        <v>38</v>
      </c>
      <c r="C96" s="162" t="str">
        <f xml:space="preserve"> setValueToTime(B96)</f>
        <v>3h10min</v>
      </c>
      <c r="D96" s="121"/>
      <c r="E96" s="247"/>
      <c r="F96" s="248"/>
      <c r="G96" s="51"/>
    </row>
    <row r="97" spans="1:7" s="59" customFormat="1" ht="15" thickBot="1" x14ac:dyDescent="0.35">
      <c r="A97" s="77"/>
      <c r="B97" s="77"/>
      <c r="C97" s="77"/>
      <c r="D97" s="77"/>
      <c r="E97" s="77"/>
      <c r="F97" s="77"/>
      <c r="G97" s="58"/>
    </row>
    <row r="98" spans="1:7" s="47" customFormat="1" ht="30" customHeight="1" thickBot="1" x14ac:dyDescent="0.3">
      <c r="A98" s="156" t="s">
        <v>13</v>
      </c>
      <c r="B98" s="164">
        <v>14</v>
      </c>
      <c r="C98" s="164"/>
      <c r="D98" s="157" t="s">
        <v>16</v>
      </c>
      <c r="E98" s="158" t="s">
        <v>67</v>
      </c>
      <c r="F98" s="159" t="s">
        <v>45</v>
      </c>
      <c r="G98" s="46"/>
    </row>
    <row r="99" spans="1:7" s="47" customFormat="1" ht="30" customHeight="1" thickBot="1" x14ac:dyDescent="0.3">
      <c r="A99" s="78" t="s">
        <v>5</v>
      </c>
      <c r="B99" s="161" t="s">
        <v>39</v>
      </c>
      <c r="C99" s="160"/>
      <c r="D99" s="78" t="s">
        <v>14</v>
      </c>
      <c r="E99" s="249" t="s">
        <v>15</v>
      </c>
      <c r="F99" s="250"/>
      <c r="G99" s="46"/>
    </row>
    <row r="100" spans="1:7" s="52" customFormat="1" ht="40.5" x14ac:dyDescent="0.3">
      <c r="A100" s="48" t="s">
        <v>96</v>
      </c>
      <c r="B100" s="49">
        <v>35</v>
      </c>
      <c r="C100" s="152" t="str">
        <f xml:space="preserve"> IF(B100="","",setValueToTime(B100))</f>
        <v>2h55min</v>
      </c>
      <c r="D100" s="165" t="s">
        <v>203</v>
      </c>
      <c r="E100" s="240"/>
      <c r="F100" s="241"/>
      <c r="G100" s="51"/>
    </row>
    <row r="101" spans="1:7" s="52" customFormat="1" ht="54" x14ac:dyDescent="0.3">
      <c r="A101" s="53" t="s">
        <v>112</v>
      </c>
      <c r="B101" s="54">
        <v>13</v>
      </c>
      <c r="C101" s="153" t="str">
        <f t="shared" ref="C101:C107" si="8" xml:space="preserve"> IF(B101="","",setValueToTime(B101))</f>
        <v>1h5min</v>
      </c>
      <c r="D101" s="166" t="s">
        <v>204</v>
      </c>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62" t="s">
        <v>28</v>
      </c>
      <c r="B108" s="83">
        <f>SUM(B100:B107)</f>
        <v>48</v>
      </c>
      <c r="C108" s="162" t="str">
        <f xml:space="preserve"> setValueToTime(B108)</f>
        <v>4h</v>
      </c>
      <c r="D108" s="121"/>
      <c r="E108" s="247"/>
      <c r="F108" s="248"/>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13</v>
      </c>
      <c r="C110" s="164"/>
      <c r="D110" s="157" t="s">
        <v>16</v>
      </c>
      <c r="E110" s="158" t="s">
        <v>70</v>
      </c>
      <c r="F110" s="159" t="s">
        <v>45</v>
      </c>
      <c r="G110" s="46"/>
    </row>
    <row r="111" spans="1:7" s="47" customFormat="1" ht="30" customHeight="1" thickBot="1" x14ac:dyDescent="0.3">
      <c r="A111" s="78" t="s">
        <v>5</v>
      </c>
      <c r="B111" s="161" t="s">
        <v>39</v>
      </c>
      <c r="C111" s="160"/>
      <c r="D111" s="78" t="s">
        <v>14</v>
      </c>
      <c r="E111" s="249" t="s">
        <v>15</v>
      </c>
      <c r="F111" s="250"/>
      <c r="G111" s="46"/>
    </row>
    <row r="112" spans="1:7" s="52" customFormat="1" ht="40.5" x14ac:dyDescent="0.3">
      <c r="A112" s="48" t="s">
        <v>104</v>
      </c>
      <c r="B112" s="49">
        <v>6</v>
      </c>
      <c r="C112" s="152" t="str">
        <f xml:space="preserve"> IF(B112="","",setValueToTime(B112))</f>
        <v>0h30min</v>
      </c>
      <c r="D112" s="165" t="s">
        <v>200</v>
      </c>
      <c r="E112" s="240"/>
      <c r="F112" s="241"/>
      <c r="G112" s="51"/>
    </row>
    <row r="113" spans="1:7" s="52" customFormat="1" ht="40.5" x14ac:dyDescent="0.3">
      <c r="A113" s="53" t="s">
        <v>96</v>
      </c>
      <c r="B113" s="54">
        <v>10</v>
      </c>
      <c r="C113" s="153" t="str">
        <f t="shared" ref="C113:C119" si="9" xml:space="preserve"> IF(B113="","",setValueToTime(B113))</f>
        <v>0h50min</v>
      </c>
      <c r="D113" s="166" t="s">
        <v>201</v>
      </c>
      <c r="E113" s="242"/>
      <c r="F113" s="243"/>
      <c r="G113" s="51"/>
    </row>
    <row r="114" spans="1:7" s="52" customFormat="1" ht="40.5" x14ac:dyDescent="0.3">
      <c r="A114" s="53" t="s">
        <v>96</v>
      </c>
      <c r="B114" s="54">
        <v>20</v>
      </c>
      <c r="C114" s="153" t="str">
        <f t="shared" si="9"/>
        <v>1h40min</v>
      </c>
      <c r="D114" s="166" t="s">
        <v>202</v>
      </c>
      <c r="E114" s="242"/>
      <c r="F114" s="243"/>
      <c r="G114" s="51"/>
    </row>
    <row r="115" spans="1:7" s="52" customFormat="1" ht="27" x14ac:dyDescent="0.3">
      <c r="A115" s="53" t="s">
        <v>93</v>
      </c>
      <c r="B115" s="54">
        <v>2</v>
      </c>
      <c r="C115" s="153" t="str">
        <f t="shared" si="9"/>
        <v>0h10min</v>
      </c>
      <c r="D115" s="166" t="s">
        <v>91</v>
      </c>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62" t="s">
        <v>28</v>
      </c>
      <c r="B120" s="83">
        <f>SUM(B112:B119)</f>
        <v>38</v>
      </c>
      <c r="C120" s="162" t="str">
        <f xml:space="preserve"> setValueToTime(B120)</f>
        <v>3h10min</v>
      </c>
      <c r="D120" s="121"/>
      <c r="E120" s="247"/>
      <c r="F120" s="248"/>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12</v>
      </c>
      <c r="C122" s="164"/>
      <c r="D122" s="157" t="s">
        <v>16</v>
      </c>
      <c r="E122" s="158" t="s">
        <v>72</v>
      </c>
      <c r="F122" s="159" t="s">
        <v>44</v>
      </c>
      <c r="G122" s="46"/>
    </row>
    <row r="123" spans="1:7" s="47" customFormat="1" ht="30" customHeight="1" thickBot="1" x14ac:dyDescent="0.3">
      <c r="A123" s="78" t="s">
        <v>5</v>
      </c>
      <c r="B123" s="161" t="s">
        <v>39</v>
      </c>
      <c r="C123" s="160"/>
      <c r="D123" s="78" t="s">
        <v>14</v>
      </c>
      <c r="E123" s="249" t="s">
        <v>15</v>
      </c>
      <c r="F123" s="250"/>
      <c r="G123" s="46"/>
    </row>
    <row r="124" spans="1:7" s="52" customFormat="1" ht="40.5" x14ac:dyDescent="0.3">
      <c r="A124" s="48" t="s">
        <v>105</v>
      </c>
      <c r="B124" s="49">
        <v>16</v>
      </c>
      <c r="C124" s="152" t="str">
        <f xml:space="preserve"> IF(B124="","",setValueToTime(B124))</f>
        <v>1h20min</v>
      </c>
      <c r="D124" s="165" t="s">
        <v>197</v>
      </c>
      <c r="E124" s="240"/>
      <c r="F124" s="241"/>
      <c r="G124" s="51"/>
    </row>
    <row r="125" spans="1:7" s="52" customFormat="1" ht="40.5" x14ac:dyDescent="0.3">
      <c r="A125" s="53" t="s">
        <v>104</v>
      </c>
      <c r="B125" s="54">
        <v>10</v>
      </c>
      <c r="C125" s="153" t="str">
        <f t="shared" ref="C125:C131" si="10" xml:space="preserve"> IF(B125="","",setValueToTime(B125))</f>
        <v>0h50min</v>
      </c>
      <c r="D125" s="166" t="s">
        <v>198</v>
      </c>
      <c r="E125" s="242"/>
      <c r="F125" s="243"/>
      <c r="G125" s="51"/>
    </row>
    <row r="126" spans="1:7" s="52" customFormat="1" ht="54" x14ac:dyDescent="0.3">
      <c r="A126" s="53" t="s">
        <v>113</v>
      </c>
      <c r="B126" s="54">
        <v>12</v>
      </c>
      <c r="C126" s="153" t="str">
        <f t="shared" si="10"/>
        <v>1h</v>
      </c>
      <c r="D126" s="166" t="s">
        <v>199</v>
      </c>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4"/>
      <c r="F131" s="245"/>
      <c r="G131" s="51"/>
    </row>
    <row r="132" spans="1:7" s="52" customFormat="1" ht="15" thickBot="1" x14ac:dyDescent="0.35">
      <c r="A132" s="162" t="s">
        <v>28</v>
      </c>
      <c r="B132" s="83">
        <f>SUM(B124:B131)</f>
        <v>38</v>
      </c>
      <c r="C132" s="162" t="str">
        <f xml:space="preserve"> setValueToTime(B132)</f>
        <v>3h10min</v>
      </c>
      <c r="D132" s="121"/>
      <c r="E132" s="247"/>
      <c r="F132" s="248"/>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11</v>
      </c>
      <c r="C134" s="164"/>
      <c r="D134" s="157" t="s">
        <v>16</v>
      </c>
      <c r="E134" s="158" t="s">
        <v>72</v>
      </c>
      <c r="F134" s="159" t="s">
        <v>45</v>
      </c>
      <c r="G134" s="46"/>
    </row>
    <row r="135" spans="1:7" s="47" customFormat="1" ht="30" customHeight="1" thickBot="1" x14ac:dyDescent="0.3">
      <c r="A135" s="78" t="s">
        <v>5</v>
      </c>
      <c r="B135" s="161" t="s">
        <v>39</v>
      </c>
      <c r="C135" s="160"/>
      <c r="D135" s="78" t="s">
        <v>14</v>
      </c>
      <c r="E135" s="249" t="s">
        <v>15</v>
      </c>
      <c r="F135" s="250"/>
      <c r="G135" s="46"/>
    </row>
    <row r="136" spans="1:7" s="52" customFormat="1" x14ac:dyDescent="0.3">
      <c r="A136" s="48" t="s">
        <v>4</v>
      </c>
      <c r="B136" s="49">
        <v>3</v>
      </c>
      <c r="C136" s="152" t="str">
        <f xml:space="preserve"> IF(B136="","",setValueToTime(B136))</f>
        <v>0h15min</v>
      </c>
      <c r="D136" s="165" t="s">
        <v>191</v>
      </c>
      <c r="E136" s="240"/>
      <c r="F136" s="241"/>
      <c r="G136" s="51"/>
    </row>
    <row r="137" spans="1:7" s="52" customFormat="1" ht="27" x14ac:dyDescent="0.3">
      <c r="A137" s="53" t="s">
        <v>110</v>
      </c>
      <c r="B137" s="54">
        <v>4</v>
      </c>
      <c r="C137" s="153" t="str">
        <f t="shared" ref="C137:C143" si="11" xml:space="preserve"> IF(B137="","",setValueToTime(B137))</f>
        <v>0h20min</v>
      </c>
      <c r="D137" s="166" t="s">
        <v>192</v>
      </c>
      <c r="E137" s="242"/>
      <c r="F137" s="243"/>
      <c r="G137" s="51"/>
    </row>
    <row r="138" spans="1:7" s="52" customFormat="1" ht="27" x14ac:dyDescent="0.3">
      <c r="A138" s="53" t="s">
        <v>114</v>
      </c>
      <c r="B138" s="54">
        <v>17</v>
      </c>
      <c r="C138" s="153" t="str">
        <f t="shared" si="11"/>
        <v>1h25min</v>
      </c>
      <c r="D138" s="166" t="s">
        <v>193</v>
      </c>
      <c r="E138" s="242"/>
      <c r="F138" s="243"/>
      <c r="G138" s="51"/>
    </row>
    <row r="139" spans="1:7" s="52" customFormat="1" ht="27" x14ac:dyDescent="0.3">
      <c r="A139" s="53" t="s">
        <v>111</v>
      </c>
      <c r="B139" s="54">
        <v>14</v>
      </c>
      <c r="C139" s="153" t="str">
        <f t="shared" si="11"/>
        <v>1h10min</v>
      </c>
      <c r="D139" s="166" t="s">
        <v>194</v>
      </c>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4"/>
      <c r="F143" s="245"/>
      <c r="G143" s="51"/>
    </row>
    <row r="144" spans="1:7" s="52" customFormat="1" ht="15" thickBot="1" x14ac:dyDescent="0.35">
      <c r="A144" s="162" t="s">
        <v>28</v>
      </c>
      <c r="B144" s="83">
        <f>SUM(B136:B143)</f>
        <v>38</v>
      </c>
      <c r="C144" s="162" t="str">
        <f xml:space="preserve"> setValueToTime(B144)</f>
        <v>3h10min</v>
      </c>
      <c r="D144" s="121"/>
      <c r="E144" s="247"/>
      <c r="F144" s="248"/>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10</v>
      </c>
      <c r="C146" s="164"/>
      <c r="D146" s="157" t="s">
        <v>16</v>
      </c>
      <c r="E146" s="158" t="s">
        <v>75</v>
      </c>
      <c r="F146" s="159" t="s">
        <v>44</v>
      </c>
      <c r="G146" s="46"/>
    </row>
    <row r="147" spans="1:7" s="47" customFormat="1" ht="30" customHeight="1" thickBot="1" x14ac:dyDescent="0.3">
      <c r="A147" s="78" t="s">
        <v>5</v>
      </c>
      <c r="B147" s="161" t="s">
        <v>39</v>
      </c>
      <c r="C147" s="160"/>
      <c r="D147" s="78" t="s">
        <v>14</v>
      </c>
      <c r="E147" s="249" t="s">
        <v>15</v>
      </c>
      <c r="F147" s="250"/>
      <c r="G147" s="46"/>
    </row>
    <row r="148" spans="1:7" s="52" customFormat="1" x14ac:dyDescent="0.3">
      <c r="A148" s="48" t="s">
        <v>4</v>
      </c>
      <c r="B148" s="49">
        <v>38</v>
      </c>
      <c r="C148" s="152" t="str">
        <f xml:space="preserve"> IF(B148="","",setValueToTime(B148))</f>
        <v>3h10min</v>
      </c>
      <c r="D148" s="165" t="s">
        <v>190</v>
      </c>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4"/>
      <c r="F155" s="245"/>
      <c r="G155" s="51"/>
    </row>
    <row r="156" spans="1:7" s="52" customFormat="1" ht="15" thickBot="1" x14ac:dyDescent="0.35">
      <c r="A156" s="162" t="s">
        <v>28</v>
      </c>
      <c r="B156" s="83">
        <f>SUM(B148:B155)</f>
        <v>38</v>
      </c>
      <c r="C156" s="162" t="str">
        <f xml:space="preserve"> setValueToTime(B156)</f>
        <v>3h10min</v>
      </c>
      <c r="D156" s="121"/>
      <c r="E156" s="247"/>
      <c r="F156" s="248"/>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9</v>
      </c>
      <c r="C158" s="164"/>
      <c r="D158" s="157" t="s">
        <v>16</v>
      </c>
      <c r="E158" s="158" t="s">
        <v>75</v>
      </c>
      <c r="F158" s="159" t="s">
        <v>45</v>
      </c>
      <c r="G158" s="46"/>
    </row>
    <row r="159" spans="1:7" s="47" customFormat="1" ht="30" customHeight="1" thickBot="1" x14ac:dyDescent="0.3">
      <c r="A159" s="78" t="s">
        <v>5</v>
      </c>
      <c r="B159" s="161" t="s">
        <v>39</v>
      </c>
      <c r="C159" s="160"/>
      <c r="D159" s="78" t="s">
        <v>14</v>
      </c>
      <c r="E159" s="249" t="s">
        <v>15</v>
      </c>
      <c r="F159" s="250"/>
      <c r="G159" s="46"/>
    </row>
    <row r="160" spans="1:7" s="52" customFormat="1" x14ac:dyDescent="0.3">
      <c r="A160" s="48" t="s">
        <v>4</v>
      </c>
      <c r="B160" s="49">
        <v>48</v>
      </c>
      <c r="C160" s="152" t="str">
        <f xml:space="preserve"> IF(B160="","",setValueToTime(B160))</f>
        <v>4h</v>
      </c>
      <c r="D160" s="165" t="s">
        <v>190</v>
      </c>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4"/>
      <c r="F167" s="245"/>
      <c r="G167" s="51"/>
    </row>
    <row r="168" spans="1:7" s="52" customFormat="1" ht="15" thickBot="1" x14ac:dyDescent="0.35">
      <c r="A168" s="162" t="s">
        <v>28</v>
      </c>
      <c r="B168" s="83">
        <f>SUM(B160:B167)</f>
        <v>48</v>
      </c>
      <c r="C168" s="162" t="str">
        <f xml:space="preserve"> setValueToTime(B168)</f>
        <v>4h</v>
      </c>
      <c r="D168" s="121"/>
      <c r="E168" s="247"/>
      <c r="F168" s="248"/>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8</v>
      </c>
      <c r="C170" s="164"/>
      <c r="D170" s="157" t="s">
        <v>16</v>
      </c>
      <c r="E170" s="158" t="s">
        <v>78</v>
      </c>
      <c r="F170" s="159" t="s">
        <v>44</v>
      </c>
      <c r="G170" s="46"/>
    </row>
    <row r="171" spans="1:7" s="47" customFormat="1" ht="30" customHeight="1" thickBot="1" x14ac:dyDescent="0.3">
      <c r="A171" s="78" t="s">
        <v>5</v>
      </c>
      <c r="B171" s="161" t="s">
        <v>39</v>
      </c>
      <c r="C171" s="160"/>
      <c r="D171" s="78" t="s">
        <v>14</v>
      </c>
      <c r="E171" s="249" t="s">
        <v>15</v>
      </c>
      <c r="F171" s="250"/>
      <c r="G171" s="46"/>
    </row>
    <row r="172" spans="1:7" s="52" customFormat="1" ht="40.5" x14ac:dyDescent="0.3">
      <c r="A172" s="48" t="s">
        <v>116</v>
      </c>
      <c r="B172" s="49">
        <v>24</v>
      </c>
      <c r="C172" s="152" t="str">
        <f xml:space="preserve"> IF(B172="","",setValueToTime(B172))</f>
        <v>2h</v>
      </c>
      <c r="D172" s="165" t="s">
        <v>187</v>
      </c>
      <c r="E172" s="252" t="s">
        <v>188</v>
      </c>
      <c r="F172" s="241"/>
      <c r="G172" s="51"/>
    </row>
    <row r="173" spans="1:7" s="52" customFormat="1" ht="27" x14ac:dyDescent="0.3">
      <c r="A173" s="53" t="s">
        <v>110</v>
      </c>
      <c r="B173" s="54">
        <v>14</v>
      </c>
      <c r="C173" s="153" t="str">
        <f t="shared" ref="C173:C179" si="14" xml:space="preserve"> IF(B173="","",setValueToTime(B173))</f>
        <v>1h10min</v>
      </c>
      <c r="D173" s="166" t="s">
        <v>189</v>
      </c>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4"/>
      <c r="F179" s="245"/>
      <c r="G179" s="51"/>
    </row>
    <row r="180" spans="1:7" s="52" customFormat="1" ht="15" thickBot="1" x14ac:dyDescent="0.35">
      <c r="A180" s="162" t="s">
        <v>28</v>
      </c>
      <c r="B180" s="83">
        <f>SUM(B172:B179)</f>
        <v>38</v>
      </c>
      <c r="C180" s="162" t="str">
        <f xml:space="preserve"> setValueToTime(B180)</f>
        <v>3h10min</v>
      </c>
      <c r="D180" s="121"/>
      <c r="E180" s="247"/>
      <c r="F180" s="248"/>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7</v>
      </c>
      <c r="C182" s="164"/>
      <c r="D182" s="157" t="s">
        <v>16</v>
      </c>
      <c r="E182" s="158" t="s">
        <v>78</v>
      </c>
      <c r="F182" s="159" t="s">
        <v>45</v>
      </c>
      <c r="G182" s="46"/>
    </row>
    <row r="183" spans="1:7" s="47" customFormat="1" ht="30" customHeight="1" thickBot="1" x14ac:dyDescent="0.3">
      <c r="A183" s="78" t="s">
        <v>5</v>
      </c>
      <c r="B183" s="161" t="s">
        <v>39</v>
      </c>
      <c r="C183" s="160"/>
      <c r="D183" s="78" t="s">
        <v>14</v>
      </c>
      <c r="E183" s="249" t="s">
        <v>15</v>
      </c>
      <c r="F183" s="250"/>
      <c r="G183" s="46"/>
    </row>
    <row r="184" spans="1:7" s="52" customFormat="1" ht="54" x14ac:dyDescent="0.3">
      <c r="A184" s="48" t="s">
        <v>101</v>
      </c>
      <c r="B184" s="49">
        <v>6</v>
      </c>
      <c r="C184" s="152" t="str">
        <f xml:space="preserve"> IF(B184="","",setValueToTime(B184))</f>
        <v>0h30min</v>
      </c>
      <c r="D184" s="165" t="s">
        <v>181</v>
      </c>
      <c r="E184" s="252" t="s">
        <v>170</v>
      </c>
      <c r="F184" s="241"/>
      <c r="G184" s="51"/>
    </row>
    <row r="185" spans="1:7" s="52" customFormat="1" ht="27" x14ac:dyDescent="0.3">
      <c r="A185" s="53" t="s">
        <v>101</v>
      </c>
      <c r="B185" s="54">
        <v>7</v>
      </c>
      <c r="C185" s="153" t="str">
        <f t="shared" ref="C185:C191" si="15" xml:space="preserve"> IF(B185="","",setValueToTime(B185))</f>
        <v>0h35min</v>
      </c>
      <c r="D185" s="166" t="s">
        <v>182</v>
      </c>
      <c r="E185" s="242"/>
      <c r="F185" s="243"/>
      <c r="G185" s="51"/>
    </row>
    <row r="186" spans="1:7" s="52" customFormat="1" ht="40.5" x14ac:dyDescent="0.3">
      <c r="A186" s="53" t="s">
        <v>102</v>
      </c>
      <c r="B186" s="54">
        <v>5</v>
      </c>
      <c r="C186" s="153" t="str">
        <f t="shared" si="15"/>
        <v>0h25min</v>
      </c>
      <c r="D186" s="166" t="s">
        <v>183</v>
      </c>
      <c r="E186" s="251" t="s">
        <v>184</v>
      </c>
      <c r="F186" s="243"/>
      <c r="G186" s="51"/>
    </row>
    <row r="187" spans="1:7" s="52" customFormat="1" ht="40.5" x14ac:dyDescent="0.3">
      <c r="A187" s="53" t="s">
        <v>116</v>
      </c>
      <c r="B187" s="54">
        <v>30</v>
      </c>
      <c r="C187" s="153" t="str">
        <f t="shared" si="15"/>
        <v>2h30min</v>
      </c>
      <c r="D187" s="166" t="s">
        <v>186</v>
      </c>
      <c r="E187" s="253" t="s">
        <v>185</v>
      </c>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4"/>
      <c r="F191" s="245"/>
      <c r="G191" s="51"/>
    </row>
    <row r="192" spans="1:7" s="52" customFormat="1" ht="15" thickBot="1" x14ac:dyDescent="0.35">
      <c r="A192" s="162" t="s">
        <v>28</v>
      </c>
      <c r="B192" s="83">
        <f>SUM(B184:B191)</f>
        <v>48</v>
      </c>
      <c r="C192" s="162" t="str">
        <f xml:space="preserve"> setValueToTime(B192)</f>
        <v>4h</v>
      </c>
      <c r="D192" s="121"/>
      <c r="E192" s="247"/>
      <c r="F192" s="248"/>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6</v>
      </c>
      <c r="C194" s="164"/>
      <c r="D194" s="157" t="s">
        <v>16</v>
      </c>
      <c r="E194" s="158" t="s">
        <v>81</v>
      </c>
      <c r="F194" s="159" t="s">
        <v>45</v>
      </c>
      <c r="G194" s="46"/>
    </row>
    <row r="195" spans="1:7" s="47" customFormat="1" ht="30" customHeight="1" thickBot="1" x14ac:dyDescent="0.3">
      <c r="A195" s="78" t="s">
        <v>5</v>
      </c>
      <c r="B195" s="161" t="s">
        <v>39</v>
      </c>
      <c r="C195" s="160"/>
      <c r="D195" s="78" t="s">
        <v>14</v>
      </c>
      <c r="E195" s="249" t="s">
        <v>15</v>
      </c>
      <c r="F195" s="250"/>
      <c r="G195" s="46"/>
    </row>
    <row r="196" spans="1:7" s="52" customFormat="1" ht="108" customHeight="1" x14ac:dyDescent="0.3">
      <c r="A196" s="48" t="s">
        <v>117</v>
      </c>
      <c r="B196" s="49">
        <v>20</v>
      </c>
      <c r="C196" s="152" t="str">
        <f xml:space="preserve"> IF(B196="","",setValueToTime(B196))</f>
        <v>1h40min</v>
      </c>
      <c r="D196" s="165" t="s">
        <v>177</v>
      </c>
      <c r="E196" s="246" t="s">
        <v>178</v>
      </c>
      <c r="F196" s="241"/>
      <c r="G196" s="51"/>
    </row>
    <row r="197" spans="1:7" s="52" customFormat="1" ht="27" x14ac:dyDescent="0.3">
      <c r="A197" s="53" t="s">
        <v>110</v>
      </c>
      <c r="B197" s="54">
        <v>14</v>
      </c>
      <c r="C197" s="153" t="str">
        <f t="shared" ref="C197:C203" si="16" xml:space="preserve"> IF(B197="","",setValueToTime(B197))</f>
        <v>1h10min</v>
      </c>
      <c r="D197" s="166" t="s">
        <v>180</v>
      </c>
      <c r="E197" s="242"/>
      <c r="F197" s="243"/>
      <c r="G197" s="51"/>
    </row>
    <row r="198" spans="1:7" s="52" customFormat="1" ht="27" x14ac:dyDescent="0.3">
      <c r="A198" s="53" t="s">
        <v>89</v>
      </c>
      <c r="B198" s="54">
        <v>3</v>
      </c>
      <c r="C198" s="153" t="str">
        <f t="shared" si="16"/>
        <v>0h15min</v>
      </c>
      <c r="D198" s="166" t="s">
        <v>179</v>
      </c>
      <c r="E198" s="242"/>
      <c r="F198" s="243"/>
      <c r="G198" s="51"/>
    </row>
    <row r="199" spans="1:7" s="52" customFormat="1" ht="27" x14ac:dyDescent="0.3">
      <c r="A199" s="53" t="s">
        <v>93</v>
      </c>
      <c r="B199" s="54">
        <v>1</v>
      </c>
      <c r="C199" s="153" t="str">
        <f t="shared" si="16"/>
        <v>0h5min</v>
      </c>
      <c r="D199" s="166" t="s">
        <v>91</v>
      </c>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4"/>
      <c r="F203" s="245"/>
      <c r="G203" s="51"/>
    </row>
    <row r="204" spans="1:7" s="52" customFormat="1" ht="15" thickBot="1" x14ac:dyDescent="0.35">
      <c r="A204" s="162" t="s">
        <v>28</v>
      </c>
      <c r="B204" s="83">
        <f>SUM(B196:B203)</f>
        <v>38</v>
      </c>
      <c r="C204" s="162" t="str">
        <f xml:space="preserve"> setValueToTime(B204)</f>
        <v>3h10min</v>
      </c>
      <c r="D204" s="121"/>
      <c r="E204" s="247"/>
      <c r="F204" s="248"/>
      <c r="G204" s="51"/>
    </row>
    <row r="205" spans="1:7" s="59" customFormat="1" ht="15" thickBot="1" x14ac:dyDescent="0.35">
      <c r="A205" s="77"/>
      <c r="B205" s="77"/>
      <c r="C205" s="77"/>
      <c r="D205" s="77"/>
      <c r="E205" s="77"/>
      <c r="F205" s="77"/>
      <c r="G205" s="58"/>
    </row>
    <row r="206" spans="1:7" s="47" customFormat="1" ht="30" customHeight="1" thickBot="1" x14ac:dyDescent="0.3">
      <c r="A206" s="156" t="s">
        <v>13</v>
      </c>
      <c r="B206" s="164">
        <v>5</v>
      </c>
      <c r="C206" s="164"/>
      <c r="D206" s="157" t="s">
        <v>16</v>
      </c>
      <c r="E206" s="158" t="s">
        <v>83</v>
      </c>
      <c r="F206" s="159" t="s">
        <v>44</v>
      </c>
      <c r="G206" s="46"/>
    </row>
    <row r="207" spans="1:7" s="47" customFormat="1" ht="30" customHeight="1" thickBot="1" x14ac:dyDescent="0.3">
      <c r="A207" s="78" t="s">
        <v>5</v>
      </c>
      <c r="B207" s="161" t="s">
        <v>39</v>
      </c>
      <c r="C207" s="160"/>
      <c r="D207" s="78" t="s">
        <v>14</v>
      </c>
      <c r="E207" s="249" t="s">
        <v>15</v>
      </c>
      <c r="F207" s="250"/>
      <c r="G207" s="46"/>
    </row>
    <row r="208" spans="1:7" s="52" customFormat="1" ht="40.5" x14ac:dyDescent="0.3">
      <c r="A208" s="48" t="s">
        <v>117</v>
      </c>
      <c r="B208" s="49">
        <v>33</v>
      </c>
      <c r="C208" s="152" t="str">
        <f xml:space="preserve"> IF(B208="","",setValueToTime(B208))</f>
        <v>2h45min</v>
      </c>
      <c r="D208" s="165" t="s">
        <v>174</v>
      </c>
      <c r="E208" s="252" t="s">
        <v>171</v>
      </c>
      <c r="F208" s="241"/>
      <c r="G208" s="51"/>
    </row>
    <row r="209" spans="1:7" s="52" customFormat="1" ht="27" x14ac:dyDescent="0.3">
      <c r="A209" s="53" t="s">
        <v>110</v>
      </c>
      <c r="B209" s="54">
        <v>4</v>
      </c>
      <c r="C209" s="153" t="str">
        <f t="shared" ref="C209:C215" si="17" xml:space="preserve"> IF(B209="","",setValueToTime(B209))</f>
        <v>0h20min</v>
      </c>
      <c r="D209" s="166" t="s">
        <v>175</v>
      </c>
      <c r="E209" s="242"/>
      <c r="F209" s="243"/>
      <c r="G209" s="51"/>
    </row>
    <row r="210" spans="1:7" s="52" customFormat="1" ht="27" x14ac:dyDescent="0.3">
      <c r="A210" s="53" t="s">
        <v>93</v>
      </c>
      <c r="B210" s="54">
        <v>1</v>
      </c>
      <c r="C210" s="153" t="str">
        <f t="shared" si="17"/>
        <v>0h5min</v>
      </c>
      <c r="D210" s="55" t="s">
        <v>173</v>
      </c>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4"/>
      <c r="F215" s="245"/>
      <c r="G215" s="51"/>
    </row>
    <row r="216" spans="1:7" s="52" customFormat="1" ht="15" thickBot="1" x14ac:dyDescent="0.35">
      <c r="A216" s="162" t="s">
        <v>28</v>
      </c>
      <c r="B216" s="83">
        <f>SUM(B208:B215)</f>
        <v>38</v>
      </c>
      <c r="C216" s="162" t="str">
        <f xml:space="preserve"> setValueToTime(B216)</f>
        <v>3h10min</v>
      </c>
      <c r="D216" s="121"/>
      <c r="E216" s="247"/>
      <c r="F216" s="248"/>
      <c r="G216" s="51"/>
    </row>
    <row r="217" spans="1:7" s="59" customFormat="1" ht="15" thickBot="1" x14ac:dyDescent="0.35">
      <c r="A217" s="77"/>
      <c r="B217" s="77"/>
      <c r="C217" s="77"/>
      <c r="D217" s="77"/>
      <c r="E217" s="77"/>
      <c r="F217" s="77"/>
      <c r="G217" s="58"/>
    </row>
    <row r="218" spans="1:7" s="47" customFormat="1" ht="30" customHeight="1" thickBot="1" x14ac:dyDescent="0.3">
      <c r="A218" s="156" t="s">
        <v>13</v>
      </c>
      <c r="B218" s="164">
        <v>4</v>
      </c>
      <c r="C218" s="164"/>
      <c r="D218" s="157" t="s">
        <v>16</v>
      </c>
      <c r="E218" s="158" t="s">
        <v>83</v>
      </c>
      <c r="F218" s="159" t="s">
        <v>45</v>
      </c>
      <c r="G218" s="46"/>
    </row>
    <row r="219" spans="1:7" s="47" customFormat="1" ht="30" customHeight="1" thickBot="1" x14ac:dyDescent="0.3">
      <c r="A219" s="78" t="s">
        <v>5</v>
      </c>
      <c r="B219" s="161" t="s">
        <v>39</v>
      </c>
      <c r="C219" s="160"/>
      <c r="D219" s="78" t="s">
        <v>14</v>
      </c>
      <c r="E219" s="249" t="s">
        <v>15</v>
      </c>
      <c r="F219" s="250"/>
      <c r="G219" s="46"/>
    </row>
    <row r="220" spans="1:7" s="52" customFormat="1" ht="40.5" x14ac:dyDescent="0.3">
      <c r="A220" s="48" t="s">
        <v>102</v>
      </c>
      <c r="B220" s="49">
        <v>14</v>
      </c>
      <c r="C220" s="152" t="str">
        <f xml:space="preserve"> IF(B220="","",setValueToTime(B220))</f>
        <v>1h10min</v>
      </c>
      <c r="D220" s="165" t="s">
        <v>176</v>
      </c>
      <c r="E220" s="252" t="s">
        <v>167</v>
      </c>
      <c r="F220" s="241"/>
      <c r="G220" s="51"/>
    </row>
    <row r="221" spans="1:7" s="52" customFormat="1" ht="27" x14ac:dyDescent="0.3">
      <c r="A221" s="53" t="s">
        <v>110</v>
      </c>
      <c r="B221" s="54">
        <v>5</v>
      </c>
      <c r="C221" s="153" t="str">
        <f t="shared" ref="C221:C227" si="18" xml:space="preserve"> IF(B221="","",setValueToTime(B221))</f>
        <v>0h25min</v>
      </c>
      <c r="D221" s="166" t="s">
        <v>169</v>
      </c>
      <c r="E221" s="242"/>
      <c r="F221" s="243"/>
      <c r="G221" s="51"/>
    </row>
    <row r="222" spans="1:7" s="52" customFormat="1" ht="40.5" x14ac:dyDescent="0.3">
      <c r="A222" s="53" t="s">
        <v>117</v>
      </c>
      <c r="B222" s="54">
        <v>19</v>
      </c>
      <c r="C222" s="153" t="str">
        <f t="shared" si="18"/>
        <v>1h35min</v>
      </c>
      <c r="D222" s="166" t="s">
        <v>172</v>
      </c>
      <c r="E222" s="251" t="s">
        <v>170</v>
      </c>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4"/>
      <c r="F227" s="245"/>
      <c r="G227" s="51"/>
    </row>
    <row r="228" spans="1:7" s="52" customFormat="1" ht="15" thickBot="1" x14ac:dyDescent="0.35">
      <c r="A228" s="162" t="s">
        <v>28</v>
      </c>
      <c r="B228" s="83">
        <f>SUM(B220:B227)</f>
        <v>38</v>
      </c>
      <c r="C228" s="162" t="str">
        <f xml:space="preserve"> setValueToTime(B228)</f>
        <v>3h10min</v>
      </c>
      <c r="D228" s="121"/>
      <c r="E228" s="247"/>
      <c r="F228" s="248"/>
      <c r="G228" s="51"/>
    </row>
    <row r="229" spans="1:7" s="59" customFormat="1" ht="15" thickBot="1" x14ac:dyDescent="0.35">
      <c r="A229" s="77"/>
      <c r="B229" s="77"/>
      <c r="C229" s="77"/>
      <c r="D229" s="77"/>
      <c r="E229" s="77"/>
      <c r="F229" s="77"/>
      <c r="G229" s="58"/>
    </row>
    <row r="230" spans="1:7" s="47" customFormat="1" ht="30" customHeight="1" thickBot="1" x14ac:dyDescent="0.3">
      <c r="A230" s="156" t="s">
        <v>13</v>
      </c>
      <c r="B230" s="164">
        <v>3</v>
      </c>
      <c r="C230" s="164"/>
      <c r="D230" s="157" t="s">
        <v>16</v>
      </c>
      <c r="E230" s="158" t="s">
        <v>85</v>
      </c>
      <c r="F230" s="159" t="s">
        <v>44</v>
      </c>
      <c r="G230" s="46"/>
    </row>
    <row r="231" spans="1:7" s="47" customFormat="1" ht="30" customHeight="1" thickBot="1" x14ac:dyDescent="0.3">
      <c r="A231" s="78" t="s">
        <v>5</v>
      </c>
      <c r="B231" s="161" t="s">
        <v>39</v>
      </c>
      <c r="C231" s="160"/>
      <c r="D231" s="78" t="s">
        <v>14</v>
      </c>
      <c r="E231" s="249" t="s">
        <v>15</v>
      </c>
      <c r="F231" s="250"/>
      <c r="G231" s="46"/>
    </row>
    <row r="232" spans="1:7" s="52" customFormat="1" ht="27" x14ac:dyDescent="0.3">
      <c r="A232" s="48" t="s">
        <v>97</v>
      </c>
      <c r="B232" s="49">
        <v>18</v>
      </c>
      <c r="C232" s="152" t="str">
        <f xml:space="preserve"> IF(B232="","",setValueToTime(B232))</f>
        <v>1h30min</v>
      </c>
      <c r="D232" s="165" t="s">
        <v>162</v>
      </c>
      <c r="E232" s="240"/>
      <c r="F232" s="241"/>
      <c r="G232" s="51"/>
    </row>
    <row r="233" spans="1:7" s="52" customFormat="1" ht="54" x14ac:dyDescent="0.3">
      <c r="A233" s="53" t="s">
        <v>111</v>
      </c>
      <c r="B233" s="54">
        <v>6</v>
      </c>
      <c r="C233" s="153" t="str">
        <f t="shared" ref="C233:C239" si="19" xml:space="preserve"> IF(B233="","",setValueToTime(B233))</f>
        <v>0h30min</v>
      </c>
      <c r="D233" s="166" t="s">
        <v>163</v>
      </c>
      <c r="E233" s="251" t="s">
        <v>168</v>
      </c>
      <c r="F233" s="243"/>
      <c r="G233" s="51"/>
    </row>
    <row r="234" spans="1:7" s="52" customFormat="1" ht="40.5" x14ac:dyDescent="0.3">
      <c r="A234" s="53" t="s">
        <v>103</v>
      </c>
      <c r="B234" s="54">
        <v>4</v>
      </c>
      <c r="C234" s="153" t="str">
        <f t="shared" si="19"/>
        <v>0h20min</v>
      </c>
      <c r="D234" s="166" t="s">
        <v>164</v>
      </c>
      <c r="E234" s="242"/>
      <c r="F234" s="243"/>
      <c r="G234" s="51"/>
    </row>
    <row r="235" spans="1:7" s="52" customFormat="1" ht="40.5" x14ac:dyDescent="0.3">
      <c r="A235" s="53" t="s">
        <v>100</v>
      </c>
      <c r="B235" s="54">
        <v>10</v>
      </c>
      <c r="C235" s="153" t="str">
        <f t="shared" si="19"/>
        <v>0h50min</v>
      </c>
      <c r="D235" s="166" t="s">
        <v>166</v>
      </c>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4"/>
      <c r="F239" s="245"/>
      <c r="G239" s="51"/>
    </row>
    <row r="240" spans="1:7" s="52" customFormat="1" ht="15" thickBot="1" x14ac:dyDescent="0.35">
      <c r="A240" s="162" t="s">
        <v>28</v>
      </c>
      <c r="B240" s="83">
        <f>SUM(B232:B239)</f>
        <v>38</v>
      </c>
      <c r="C240" s="162" t="str">
        <f xml:space="preserve"> setValueToTime(B240)</f>
        <v>3h10min</v>
      </c>
      <c r="D240" s="121"/>
      <c r="E240" s="247"/>
      <c r="F240" s="248"/>
      <c r="G240" s="51"/>
    </row>
    <row r="241" spans="1:7" s="59" customFormat="1" ht="15" thickBot="1" x14ac:dyDescent="0.35">
      <c r="A241" s="77"/>
      <c r="B241" s="77"/>
      <c r="C241" s="77"/>
      <c r="D241" s="77"/>
      <c r="E241" s="77"/>
      <c r="F241" s="77"/>
      <c r="G241" s="58"/>
    </row>
    <row r="242" spans="1:7" s="47" customFormat="1" ht="30" customHeight="1" thickBot="1" x14ac:dyDescent="0.3">
      <c r="A242" s="156" t="s">
        <v>13</v>
      </c>
      <c r="B242" s="164">
        <v>2</v>
      </c>
      <c r="C242" s="164"/>
      <c r="D242" s="157" t="s">
        <v>16</v>
      </c>
      <c r="E242" s="158" t="s">
        <v>85</v>
      </c>
      <c r="F242" s="159" t="s">
        <v>45</v>
      </c>
      <c r="G242" s="46"/>
    </row>
    <row r="243" spans="1:7" s="47" customFormat="1" ht="30" customHeight="1" thickBot="1" x14ac:dyDescent="0.3">
      <c r="A243" s="78" t="s">
        <v>5</v>
      </c>
      <c r="B243" s="161" t="s">
        <v>39</v>
      </c>
      <c r="C243" s="160"/>
      <c r="D243" s="78" t="s">
        <v>14</v>
      </c>
      <c r="E243" s="249" t="s">
        <v>15</v>
      </c>
      <c r="F243" s="250"/>
      <c r="G243" s="46"/>
    </row>
    <row r="244" spans="1:7" s="52" customFormat="1" ht="27" x14ac:dyDescent="0.3">
      <c r="A244" s="48" t="s">
        <v>97</v>
      </c>
      <c r="B244" s="49">
        <v>48</v>
      </c>
      <c r="C244" s="152" t="str">
        <f xml:space="preserve"> IF(B244="","",setValueToTime(B244))</f>
        <v>4h</v>
      </c>
      <c r="D244" s="165" t="s">
        <v>161</v>
      </c>
      <c r="E244" s="240"/>
      <c r="F244" s="241"/>
      <c r="G244" s="51"/>
    </row>
    <row r="245" spans="1:7" s="52" customFormat="1" x14ac:dyDescent="0.3">
      <c r="A245" s="53"/>
      <c r="B245" s="54"/>
      <c r="C245" s="153" t="str">
        <f t="shared" ref="C245:C251" si="20" xml:space="preserve"> IF(B245="","",setValueToTime(B245))</f>
        <v/>
      </c>
      <c r="D245" s="55"/>
      <c r="E245" s="242"/>
      <c r="F245" s="243"/>
      <c r="G245" s="51"/>
    </row>
    <row r="246" spans="1:7" s="52" customFormat="1" x14ac:dyDescent="0.3">
      <c r="A246" s="53"/>
      <c r="B246" s="54"/>
      <c r="C246" s="153" t="str">
        <f t="shared" si="20"/>
        <v/>
      </c>
      <c r="D246" s="55"/>
      <c r="E246" s="242"/>
      <c r="F246" s="243"/>
      <c r="G246" s="51"/>
    </row>
    <row r="247" spans="1:7" s="52" customFormat="1" x14ac:dyDescent="0.3">
      <c r="A247" s="53"/>
      <c r="B247" s="54"/>
      <c r="C247" s="153" t="str">
        <f t="shared" si="20"/>
        <v/>
      </c>
      <c r="D247" s="55"/>
      <c r="E247" s="242"/>
      <c r="F247" s="243"/>
      <c r="G247" s="51"/>
    </row>
    <row r="248" spans="1:7" s="52" customFormat="1" x14ac:dyDescent="0.3">
      <c r="A248" s="54"/>
      <c r="B248" s="54"/>
      <c r="C248" s="154" t="str">
        <f t="shared" si="20"/>
        <v/>
      </c>
      <c r="D248" s="55"/>
      <c r="E248" s="242"/>
      <c r="F248" s="243"/>
      <c r="G248" s="51"/>
    </row>
    <row r="249" spans="1:7" s="52" customFormat="1" x14ac:dyDescent="0.3">
      <c r="A249" s="54"/>
      <c r="B249" s="54"/>
      <c r="C249" s="154" t="str">
        <f t="shared" si="20"/>
        <v/>
      </c>
      <c r="D249" s="55"/>
      <c r="E249" s="242"/>
      <c r="F249" s="243"/>
      <c r="G249" s="51"/>
    </row>
    <row r="250" spans="1:7" s="52" customFormat="1" x14ac:dyDescent="0.3">
      <c r="A250" s="54"/>
      <c r="B250" s="54"/>
      <c r="C250" s="154" t="str">
        <f t="shared" si="20"/>
        <v/>
      </c>
      <c r="D250" s="55"/>
      <c r="E250" s="242"/>
      <c r="F250" s="243"/>
      <c r="G250" s="51"/>
    </row>
    <row r="251" spans="1:7" s="52" customFormat="1" ht="15" thickBot="1" x14ac:dyDescent="0.35">
      <c r="A251" s="56"/>
      <c r="B251" s="56"/>
      <c r="C251" s="155" t="str">
        <f t="shared" si="20"/>
        <v/>
      </c>
      <c r="D251" s="57"/>
      <c r="E251" s="244"/>
      <c r="F251" s="245"/>
      <c r="G251" s="51"/>
    </row>
    <row r="252" spans="1:7" s="52" customFormat="1" ht="15" thickBot="1" x14ac:dyDescent="0.35">
      <c r="A252" s="162" t="s">
        <v>28</v>
      </c>
      <c r="B252" s="83">
        <f>SUM(B244:B251)</f>
        <v>48</v>
      </c>
      <c r="C252" s="162" t="str">
        <f xml:space="preserve"> setValueToTime(B252)</f>
        <v>4h</v>
      </c>
      <c r="D252" s="121"/>
      <c r="E252" s="247"/>
      <c r="F252" s="248"/>
      <c r="G252" s="51"/>
    </row>
    <row r="253" spans="1:7" s="59" customFormat="1" ht="15" thickBot="1" x14ac:dyDescent="0.35">
      <c r="A253" s="77"/>
      <c r="B253" s="77"/>
      <c r="C253" s="77"/>
      <c r="D253" s="77"/>
      <c r="E253" s="77"/>
      <c r="F253" s="77"/>
      <c r="G253" s="58"/>
    </row>
    <row r="254" spans="1:7" s="47" customFormat="1" ht="30" customHeight="1" thickBot="1" x14ac:dyDescent="0.3">
      <c r="A254" s="156" t="s">
        <v>13</v>
      </c>
      <c r="B254" s="164">
        <v>1</v>
      </c>
      <c r="C254" s="164"/>
      <c r="D254" s="157" t="s">
        <v>16</v>
      </c>
      <c r="E254" s="158" t="s">
        <v>86</v>
      </c>
      <c r="F254" s="159" t="s">
        <v>44</v>
      </c>
      <c r="G254" s="46"/>
    </row>
    <row r="255" spans="1:7" s="47" customFormat="1" ht="30" customHeight="1" thickBot="1" x14ac:dyDescent="0.3">
      <c r="A255" s="78" t="s">
        <v>5</v>
      </c>
      <c r="B255" s="161" t="s">
        <v>39</v>
      </c>
      <c r="C255" s="160"/>
      <c r="D255" s="78" t="s">
        <v>14</v>
      </c>
      <c r="E255" s="249" t="s">
        <v>15</v>
      </c>
      <c r="F255" s="250"/>
      <c r="G255" s="46"/>
    </row>
    <row r="256" spans="1:7" s="52" customFormat="1" ht="27" x14ac:dyDescent="0.3">
      <c r="A256" s="48" t="s">
        <v>89</v>
      </c>
      <c r="B256" s="49">
        <v>9</v>
      </c>
      <c r="C256" s="152" t="str">
        <f xml:space="preserve"> IF(B256="","",setValueToTime(B256))</f>
        <v>0h45min</v>
      </c>
      <c r="D256" s="165" t="s">
        <v>88</v>
      </c>
      <c r="E256" s="240"/>
      <c r="F256" s="241"/>
      <c r="G256" s="51"/>
    </row>
    <row r="257" spans="1:7" s="52" customFormat="1" ht="27" x14ac:dyDescent="0.3">
      <c r="A257" s="53" t="s">
        <v>43</v>
      </c>
      <c r="B257" s="54">
        <v>19</v>
      </c>
      <c r="C257" s="153" t="str">
        <f t="shared" ref="C257:C263" si="21" xml:space="preserve"> IF(B257="","",setValueToTime(B257))</f>
        <v>1h35min</v>
      </c>
      <c r="D257" s="166" t="s">
        <v>90</v>
      </c>
      <c r="E257" s="242"/>
      <c r="F257" s="243"/>
      <c r="G257" s="51"/>
    </row>
    <row r="258" spans="1:7" s="52" customFormat="1" x14ac:dyDescent="0.3">
      <c r="A258" s="53" t="s">
        <v>42</v>
      </c>
      <c r="B258" s="54">
        <v>7</v>
      </c>
      <c r="C258" s="153" t="str">
        <f t="shared" si="21"/>
        <v>0h35min</v>
      </c>
      <c r="D258" s="166" t="s">
        <v>92</v>
      </c>
      <c r="E258" s="242"/>
      <c r="F258" s="243"/>
      <c r="G258" s="51"/>
    </row>
    <row r="259" spans="1:7" s="52" customFormat="1" x14ac:dyDescent="0.3">
      <c r="A259" s="53" t="s">
        <v>87</v>
      </c>
      <c r="B259" s="54">
        <v>1</v>
      </c>
      <c r="C259" s="153" t="str">
        <f t="shared" si="21"/>
        <v>0h5min</v>
      </c>
      <c r="D259" s="166" t="s">
        <v>91</v>
      </c>
      <c r="E259" s="242"/>
      <c r="F259" s="243"/>
      <c r="G259" s="51"/>
    </row>
    <row r="260" spans="1:7" s="52" customFormat="1" x14ac:dyDescent="0.3">
      <c r="A260" s="54"/>
      <c r="B260" s="54"/>
      <c r="C260" s="154" t="str">
        <f t="shared" si="21"/>
        <v/>
      </c>
      <c r="D260" s="55"/>
      <c r="E260" s="242"/>
      <c r="F260" s="243"/>
      <c r="G260" s="51"/>
    </row>
    <row r="261" spans="1:7" s="52" customFormat="1" x14ac:dyDescent="0.3">
      <c r="A261" s="54"/>
      <c r="B261" s="54"/>
      <c r="C261" s="154" t="str">
        <f t="shared" si="21"/>
        <v/>
      </c>
      <c r="D261" s="55"/>
      <c r="E261" s="242"/>
      <c r="F261" s="243"/>
      <c r="G261" s="51"/>
    </row>
    <row r="262" spans="1:7" s="52" customFormat="1" x14ac:dyDescent="0.3">
      <c r="A262" s="54"/>
      <c r="B262" s="54"/>
      <c r="C262" s="154" t="str">
        <f t="shared" si="21"/>
        <v/>
      </c>
      <c r="D262" s="55"/>
      <c r="E262" s="242"/>
      <c r="F262" s="243"/>
      <c r="G262" s="51"/>
    </row>
    <row r="263" spans="1:7" s="52" customFormat="1" ht="15" thickBot="1" x14ac:dyDescent="0.35">
      <c r="A263" s="56"/>
      <c r="B263" s="56"/>
      <c r="C263" s="155" t="str">
        <f t="shared" si="21"/>
        <v/>
      </c>
      <c r="D263" s="57"/>
      <c r="E263" s="244"/>
      <c r="F263" s="245"/>
      <c r="G263" s="51"/>
    </row>
    <row r="264" spans="1:7" s="52" customFormat="1" ht="15" thickBot="1" x14ac:dyDescent="0.35">
      <c r="A264" s="162" t="s">
        <v>28</v>
      </c>
      <c r="B264" s="83">
        <f>SUM(B256:B263)</f>
        <v>36</v>
      </c>
      <c r="C264" s="162" t="str">
        <f xml:space="preserve"> setValueToTime(B264)</f>
        <v>3h</v>
      </c>
      <c r="D264" s="121"/>
      <c r="E264" s="247"/>
      <c r="F264" s="248"/>
      <c r="G264" s="51"/>
    </row>
    <row r="265" spans="1:7" s="59" customFormat="1" x14ac:dyDescent="0.3">
      <c r="A265" s="77"/>
      <c r="B265" s="77"/>
      <c r="C265" s="77"/>
      <c r="D265" s="77"/>
      <c r="E265" s="77"/>
      <c r="F265" s="77"/>
      <c r="G265" s="58"/>
    </row>
  </sheetData>
  <sheetProtection formatRows="0" insertRows="0" insertHyperlinks="0" deleteRows="0" selectLockedCells="1"/>
  <mergeCells count="220">
    <mergeCell ref="E60:F60"/>
    <mergeCell ref="E51:F51"/>
    <mergeCell ref="E52:F52"/>
    <mergeCell ref="E53:F53"/>
    <mergeCell ref="E54:F54"/>
    <mergeCell ref="E55:F55"/>
    <mergeCell ref="E56:F56"/>
    <mergeCell ref="E57:F57"/>
    <mergeCell ref="E58:F58"/>
    <mergeCell ref="E59:F59"/>
    <mergeCell ref="E108:F108"/>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61:F261"/>
    <mergeCell ref="E262:F262"/>
    <mergeCell ref="E263:F263"/>
    <mergeCell ref="E264:F264"/>
    <mergeCell ref="E255:F255"/>
    <mergeCell ref="E256:F256"/>
    <mergeCell ref="E257:F257"/>
    <mergeCell ref="E258:F258"/>
    <mergeCell ref="E259:F259"/>
    <mergeCell ref="E260:F260"/>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00:F200"/>
    <mergeCell ref="E201:F201"/>
    <mergeCell ref="E202:F202"/>
    <mergeCell ref="E203:F203"/>
    <mergeCell ref="E204:F204"/>
    <mergeCell ref="E195:F195"/>
    <mergeCell ref="E196:F196"/>
    <mergeCell ref="E197:F197"/>
    <mergeCell ref="E198:F198"/>
    <mergeCell ref="E199:F199"/>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264">
    <cfRule type="cellIs" dxfId="23" priority="24"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56:B263 B244:B251 B232:B239 B220:B227 B208:B215 B196:B203 B184:B191 B172:B179 B160:B167 B148:B155 B136:B143 B124:B131 B112:B119 B100:B107 B88:B95 B76:B83 B64:B71 B52:B59 B40:B47 B28:B35 B16:B23 B4:B11" xr:uid="{00000000-0002-0000-0300-000000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4 B252 B240 B228 B216 B204 B192 B180 B168 B156 B144 B132 B120 B108 B96 B84 B72 B60 B48 B36 B24 B12" xr:uid="{00000000-0002-0000-0300-000001000000}">
      <formula1>0</formula1>
      <formula2>60</formula2>
    </dataValidation>
    <dataValidation type="list" allowBlank="1" showInputMessage="1" showErrorMessage="1" sqref="A256:A263 A244:A251 A232:A239 A220:A227 A208:A215 A196:A203 A184:A191 A172:A179 A160:A167 A148:A155 A136:A143 A124:A131 A112:A119 A100:A107 A88:A95 A76:A83 A64:A71 A52:A59 A40:A47 A28:A35 A16:A23 A4:A11" xr:uid="{00000000-0002-0000-0300-000002000000}">
      <formula1>ListeTaches</formula1>
    </dataValidation>
  </dataValidations>
  <hyperlinks>
    <hyperlink ref="E220" r:id="rId1" xr:uid="{00000000-0004-0000-0300-000000000000}"/>
    <hyperlink ref="E233" r:id="rId2" xr:uid="{00000000-0004-0000-0300-000001000000}"/>
    <hyperlink ref="E222" r:id="rId3" xr:uid="{00000000-0004-0000-0300-000002000000}"/>
    <hyperlink ref="E208" r:id="rId4" xr:uid="{00000000-0004-0000-0300-000003000000}"/>
    <hyperlink ref="E184" r:id="rId5" xr:uid="{00000000-0004-0000-0300-000004000000}"/>
    <hyperlink ref="E186" r:id="rId6" xr:uid="{00000000-0004-0000-0300-000005000000}"/>
    <hyperlink ref="E172" r:id="rId7" xr:uid="{00000000-0004-0000-0300-00000600000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90"/>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90"/>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90"/>
    </row>
    <row r="13" spans="1:61" ht="18.75" thickBot="1" x14ac:dyDescent="0.3">
      <c r="A13" s="223" t="s">
        <v>13</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90"/>
    </row>
    <row r="14" spans="1:61" ht="15.75" thickBot="1" x14ac:dyDescent="0.35">
      <c r="A14" s="103"/>
      <c r="B14" s="104"/>
      <c r="C14" s="104"/>
      <c r="D14" s="104"/>
      <c r="E14" s="210" t="s">
        <v>33</v>
      </c>
      <c r="F14" s="210"/>
      <c r="G14" s="210"/>
      <c r="H14" s="210"/>
      <c r="I14" s="104"/>
      <c r="J14" s="104"/>
      <c r="K14" s="211" t="s">
        <v>23</v>
      </c>
      <c r="L14" s="211"/>
      <c r="M14" s="211"/>
      <c r="N14" s="211"/>
      <c r="O14" s="129"/>
      <c r="P14" s="129"/>
      <c r="Q14" s="210" t="s">
        <v>34</v>
      </c>
      <c r="R14" s="210"/>
      <c r="S14" s="210"/>
      <c r="T14" s="210"/>
      <c r="U14" s="104"/>
      <c r="V14" s="104"/>
      <c r="W14" s="211" t="s">
        <v>24</v>
      </c>
      <c r="X14" s="211"/>
      <c r="Y14" s="211"/>
      <c r="Z14" s="211"/>
      <c r="AA14" s="129"/>
      <c r="AB14" s="129"/>
      <c r="AC14" s="210" t="s">
        <v>35</v>
      </c>
      <c r="AD14" s="210"/>
      <c r="AE14" s="210"/>
      <c r="AF14" s="210"/>
      <c r="AG14" s="104"/>
      <c r="AH14" s="104"/>
      <c r="AI14" s="211" t="s">
        <v>25</v>
      </c>
      <c r="AJ14" s="211"/>
      <c r="AK14" s="211"/>
      <c r="AL14" s="211"/>
      <c r="AM14" s="129"/>
      <c r="AN14" s="129"/>
      <c r="AO14" s="210" t="s">
        <v>36</v>
      </c>
      <c r="AP14" s="210"/>
      <c r="AQ14" s="210"/>
      <c r="AR14" s="210"/>
      <c r="AS14" s="104"/>
      <c r="AT14" s="104"/>
      <c r="AU14" s="211" t="s">
        <v>26</v>
      </c>
      <c r="AV14" s="211"/>
      <c r="AW14" s="211"/>
      <c r="AX14" s="211"/>
      <c r="AY14" s="129"/>
      <c r="AZ14" s="129"/>
      <c r="BA14" s="210" t="s">
        <v>37</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8" t="s">
        <v>15</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28</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9" t="s">
        <v>15</v>
      </c>
      <c r="F2" s="250"/>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28</v>
      </c>
      <c r="B11" s="83">
        <f>SUM(B3:B10)</f>
        <v>0</v>
      </c>
      <c r="C11" s="162" t="str">
        <f xml:space="preserve"> setValueToTime(B11)</f>
        <v>0h</v>
      </c>
      <c r="D11" s="121"/>
      <c r="E11" s="247"/>
      <c r="F11" s="24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2021-05-24T09:51:27Z</dcterms:modified>
</cp:coreProperties>
</file>